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Excel Files\Dashboard\Project_2\"/>
    </mc:Choice>
  </mc:AlternateContent>
  <xr:revisionPtr revIDLastSave="0" documentId="13_ncr:1_{6118A716-EBEC-4B5C-9F89-B8A1E12FC678}" xr6:coauthVersionLast="47" xr6:coauthVersionMax="47" xr10:uidLastSave="{00000000-0000-0000-0000-000000000000}"/>
  <bookViews>
    <workbookView xWindow="-110" yWindow="-110" windowWidth="19420" windowHeight="11500" activeTab="4" xr2:uid="{346724B3-1C49-40AE-AA36-C77CF5D6DD09}"/>
  </bookViews>
  <sheets>
    <sheet name="Pivots" sheetId="5" r:id="rId1"/>
    <sheet name="Sheet2" sheetId="8" r:id="rId2"/>
    <sheet name="Data" sheetId="1" r:id="rId3"/>
    <sheet name="Questions &amp; KPIs" sheetId="2" r:id="rId4"/>
    <sheet name="Dashboard" sheetId="3" r:id="rId5"/>
    <sheet name="Logo &amp; Colors" sheetId="4" r:id="rId6"/>
  </sheets>
  <definedNames>
    <definedName name="_xlchart.v5.0" hidden="1">Sheet2!$AE$10:$AF$10</definedName>
    <definedName name="_xlchart.v5.1" hidden="1">Sheet2!$AE$11:$AF$68</definedName>
    <definedName name="_xlchart.v5.2" hidden="1">Sheet2!$AG$10</definedName>
    <definedName name="_xlchart.v5.3" hidden="1">Sheet2!$AG$11:$AG$68</definedName>
    <definedName name="_xlchart.v5.4" hidden="1">Sheet2!$AJ$10:$AK$10</definedName>
    <definedName name="_xlchart.v5.5" hidden="1">Sheet2!$AJ$11:$AK$68</definedName>
    <definedName name="_xlchart.v5.6" hidden="1">Sheet2!$AL$10</definedName>
    <definedName name="_xlchart.v5.7" hidden="1">Sheet2!$AL$11:$AL$68</definedName>
    <definedName name="Slicer_Gender_Value">#N/A</definedName>
    <definedName name="Slicer_Order_Mod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12" i="8" l="1"/>
  <c r="AK12" i="8"/>
  <c r="AL12" i="8"/>
  <c r="AJ13" i="8"/>
  <c r="AK13" i="8"/>
  <c r="AL13" i="8"/>
  <c r="AJ14" i="8"/>
  <c r="AK14" i="8"/>
  <c r="AL14" i="8"/>
  <c r="AJ15" i="8"/>
  <c r="AK15" i="8"/>
  <c r="AL15" i="8"/>
  <c r="AJ16" i="8"/>
  <c r="AK16" i="8"/>
  <c r="AL16" i="8"/>
  <c r="AJ17" i="8"/>
  <c r="AK17" i="8"/>
  <c r="AL17" i="8"/>
  <c r="AJ18" i="8"/>
  <c r="AK18" i="8"/>
  <c r="AL18" i="8"/>
  <c r="AJ19" i="8"/>
  <c r="AK19" i="8"/>
  <c r="AL19" i="8"/>
  <c r="AJ20" i="8"/>
  <c r="AK20" i="8"/>
  <c r="AL20" i="8"/>
  <c r="AJ21" i="8"/>
  <c r="AK21" i="8"/>
  <c r="AL21" i="8"/>
  <c r="AJ22" i="8"/>
  <c r="AK22" i="8"/>
  <c r="AL22" i="8"/>
  <c r="AJ23" i="8"/>
  <c r="AK23" i="8"/>
  <c r="AL23" i="8"/>
  <c r="AJ24" i="8"/>
  <c r="AK24" i="8"/>
  <c r="AL24" i="8"/>
  <c r="AJ25" i="8"/>
  <c r="AK25" i="8"/>
  <c r="AL25" i="8"/>
  <c r="AJ26" i="8"/>
  <c r="AK26" i="8"/>
  <c r="AL26" i="8"/>
  <c r="AJ27" i="8"/>
  <c r="AK27" i="8"/>
  <c r="AL27" i="8"/>
  <c r="AJ28" i="8"/>
  <c r="AK28" i="8"/>
  <c r="AL28" i="8"/>
  <c r="AJ29" i="8"/>
  <c r="AK29" i="8"/>
  <c r="AL29" i="8"/>
  <c r="AJ30" i="8"/>
  <c r="AK30" i="8"/>
  <c r="AL30" i="8"/>
  <c r="AJ31" i="8"/>
  <c r="AK31" i="8"/>
  <c r="AL31" i="8"/>
  <c r="AJ32" i="8"/>
  <c r="AK32" i="8"/>
  <c r="AL32" i="8"/>
  <c r="AJ33" i="8"/>
  <c r="AK33" i="8"/>
  <c r="AL33" i="8"/>
  <c r="AJ34" i="8"/>
  <c r="AK34" i="8"/>
  <c r="AL34" i="8"/>
  <c r="AJ35" i="8"/>
  <c r="AK35" i="8"/>
  <c r="AL35" i="8"/>
  <c r="AJ36" i="8"/>
  <c r="AK36" i="8"/>
  <c r="AL36" i="8"/>
  <c r="AJ37" i="8"/>
  <c r="AK37" i="8"/>
  <c r="AL37" i="8"/>
  <c r="AJ38" i="8"/>
  <c r="AK38" i="8"/>
  <c r="AL38" i="8"/>
  <c r="AJ39" i="8"/>
  <c r="AK39" i="8"/>
  <c r="AL39" i="8"/>
  <c r="AJ40" i="8"/>
  <c r="AK40" i="8"/>
  <c r="AL40" i="8"/>
  <c r="AJ41" i="8"/>
  <c r="AK41" i="8"/>
  <c r="AL41" i="8"/>
  <c r="AJ42" i="8"/>
  <c r="AK42" i="8"/>
  <c r="AL42" i="8"/>
  <c r="AJ43" i="8"/>
  <c r="AK43" i="8"/>
  <c r="AL43" i="8"/>
  <c r="AJ44" i="8"/>
  <c r="AK44" i="8"/>
  <c r="AL44" i="8"/>
  <c r="AJ45" i="8"/>
  <c r="AK45" i="8"/>
  <c r="AL45" i="8"/>
  <c r="AJ46" i="8"/>
  <c r="AK46" i="8"/>
  <c r="AL46" i="8"/>
  <c r="AJ47" i="8"/>
  <c r="AK47" i="8"/>
  <c r="AL47" i="8"/>
  <c r="AJ48" i="8"/>
  <c r="AK48" i="8"/>
  <c r="AL48" i="8"/>
  <c r="AJ49" i="8"/>
  <c r="AK49" i="8"/>
  <c r="AL49" i="8"/>
  <c r="AJ50" i="8"/>
  <c r="AK50" i="8"/>
  <c r="AL50" i="8"/>
  <c r="AJ51" i="8"/>
  <c r="AK51" i="8"/>
  <c r="AL51" i="8"/>
  <c r="AJ52" i="8"/>
  <c r="AK52" i="8"/>
  <c r="AL52" i="8"/>
  <c r="AJ53" i="8"/>
  <c r="AK53" i="8"/>
  <c r="AL53" i="8"/>
  <c r="AJ54" i="8"/>
  <c r="AK54" i="8"/>
  <c r="AL54" i="8"/>
  <c r="AJ55" i="8"/>
  <c r="AK55" i="8"/>
  <c r="AL55" i="8"/>
  <c r="AJ56" i="8"/>
  <c r="AK56" i="8"/>
  <c r="AL56" i="8"/>
  <c r="AJ57" i="8"/>
  <c r="AK57" i="8"/>
  <c r="AL57" i="8"/>
  <c r="AJ58" i="8"/>
  <c r="AK58" i="8"/>
  <c r="AL58" i="8"/>
  <c r="AJ59" i="8"/>
  <c r="AK59" i="8"/>
  <c r="AL59" i="8"/>
  <c r="AJ60" i="8"/>
  <c r="AK60" i="8"/>
  <c r="AL60" i="8"/>
  <c r="AJ61" i="8"/>
  <c r="AK61" i="8"/>
  <c r="AL61" i="8"/>
  <c r="AJ62" i="8"/>
  <c r="AK62" i="8"/>
  <c r="AL62" i="8"/>
  <c r="AJ63" i="8"/>
  <c r="AK63" i="8"/>
  <c r="AL63" i="8"/>
  <c r="AJ64" i="8"/>
  <c r="AK64" i="8"/>
  <c r="AL64" i="8"/>
  <c r="AJ65" i="8"/>
  <c r="AK65" i="8"/>
  <c r="AL65" i="8"/>
  <c r="AJ66" i="8"/>
  <c r="AK66" i="8"/>
  <c r="AL66" i="8"/>
  <c r="AJ67" i="8"/>
  <c r="AK67" i="8"/>
  <c r="AL67" i="8"/>
  <c r="AJ68" i="8"/>
  <c r="AK68" i="8"/>
  <c r="AL68" i="8"/>
  <c r="AL11" i="8"/>
  <c r="AK11" i="8"/>
  <c r="AJ11" i="8"/>
  <c r="AE12" i="8"/>
  <c r="AF12" i="8"/>
  <c r="AG12" i="8"/>
  <c r="AE13" i="8"/>
  <c r="AF13" i="8"/>
  <c r="AG13" i="8"/>
  <c r="AE14" i="8"/>
  <c r="AF14" i="8"/>
  <c r="AG14" i="8"/>
  <c r="AE15" i="8"/>
  <c r="AF15" i="8"/>
  <c r="AG15" i="8"/>
  <c r="AE16" i="8"/>
  <c r="AF16" i="8"/>
  <c r="AG16" i="8"/>
  <c r="AE17" i="8"/>
  <c r="AF17" i="8"/>
  <c r="AG17" i="8"/>
  <c r="AE18" i="8"/>
  <c r="AF18" i="8"/>
  <c r="AG18" i="8"/>
  <c r="AE19" i="8"/>
  <c r="AF19" i="8"/>
  <c r="AG19" i="8"/>
  <c r="AE20" i="8"/>
  <c r="AF20" i="8"/>
  <c r="AG20" i="8"/>
  <c r="AE21" i="8"/>
  <c r="AF21" i="8"/>
  <c r="AG21" i="8"/>
  <c r="AE22" i="8"/>
  <c r="AF22" i="8"/>
  <c r="AG22" i="8"/>
  <c r="AE23" i="8"/>
  <c r="AF23" i="8"/>
  <c r="AG23" i="8"/>
  <c r="AE24" i="8"/>
  <c r="AF24" i="8"/>
  <c r="AG24" i="8"/>
  <c r="AE25" i="8"/>
  <c r="AF25" i="8"/>
  <c r="AG25" i="8"/>
  <c r="AE26" i="8"/>
  <c r="AF26" i="8"/>
  <c r="AG26" i="8"/>
  <c r="AE27" i="8"/>
  <c r="AF27" i="8"/>
  <c r="AG27" i="8"/>
  <c r="AE28" i="8"/>
  <c r="AF28" i="8"/>
  <c r="AG28" i="8"/>
  <c r="AE29" i="8"/>
  <c r="AF29" i="8"/>
  <c r="AG29" i="8"/>
  <c r="AE30" i="8"/>
  <c r="AF30" i="8"/>
  <c r="AG30" i="8"/>
  <c r="AE31" i="8"/>
  <c r="AF31" i="8"/>
  <c r="AG31" i="8"/>
  <c r="AE32" i="8"/>
  <c r="AF32" i="8"/>
  <c r="AG32" i="8"/>
  <c r="AE33" i="8"/>
  <c r="AF33" i="8"/>
  <c r="AG33" i="8"/>
  <c r="AE34" i="8"/>
  <c r="AF34" i="8"/>
  <c r="AG34" i="8"/>
  <c r="AE35" i="8"/>
  <c r="AF35" i="8"/>
  <c r="AG35" i="8"/>
  <c r="AE36" i="8"/>
  <c r="AF36" i="8"/>
  <c r="AG36" i="8"/>
  <c r="AE37" i="8"/>
  <c r="AF37" i="8"/>
  <c r="AG37" i="8"/>
  <c r="AE38" i="8"/>
  <c r="AF38" i="8"/>
  <c r="AG38" i="8"/>
  <c r="AE39" i="8"/>
  <c r="AF39" i="8"/>
  <c r="AG39" i="8"/>
  <c r="AE40" i="8"/>
  <c r="AF40" i="8"/>
  <c r="AG40" i="8"/>
  <c r="AE41" i="8"/>
  <c r="AF41" i="8"/>
  <c r="AG41" i="8"/>
  <c r="AE42" i="8"/>
  <c r="AF42" i="8"/>
  <c r="AG42" i="8"/>
  <c r="AE43" i="8"/>
  <c r="AF43" i="8"/>
  <c r="AG43" i="8"/>
  <c r="AE44" i="8"/>
  <c r="AF44" i="8"/>
  <c r="AG44" i="8"/>
  <c r="AE45" i="8"/>
  <c r="AF45" i="8"/>
  <c r="AG45" i="8"/>
  <c r="AE46" i="8"/>
  <c r="AF46" i="8"/>
  <c r="AG46" i="8"/>
  <c r="AE47" i="8"/>
  <c r="AF47" i="8"/>
  <c r="AG47" i="8"/>
  <c r="AE48" i="8"/>
  <c r="AF48" i="8"/>
  <c r="AG48" i="8"/>
  <c r="AE49" i="8"/>
  <c r="AF49" i="8"/>
  <c r="AG49" i="8"/>
  <c r="AE50" i="8"/>
  <c r="AF50" i="8"/>
  <c r="AG50" i="8"/>
  <c r="AE51" i="8"/>
  <c r="AF51" i="8"/>
  <c r="AG51" i="8"/>
  <c r="AE52" i="8"/>
  <c r="AF52" i="8"/>
  <c r="AG52" i="8"/>
  <c r="AE53" i="8"/>
  <c r="AF53" i="8"/>
  <c r="AG53" i="8"/>
  <c r="AE54" i="8"/>
  <c r="AF54" i="8"/>
  <c r="AG54" i="8"/>
  <c r="AE55" i="8"/>
  <c r="AF55" i="8"/>
  <c r="AG55" i="8"/>
  <c r="AE56" i="8"/>
  <c r="AF56" i="8"/>
  <c r="AG56" i="8"/>
  <c r="AE57" i="8"/>
  <c r="AF57" i="8"/>
  <c r="AG57" i="8"/>
  <c r="AE58" i="8"/>
  <c r="AF58" i="8"/>
  <c r="AG58" i="8"/>
  <c r="AE59" i="8"/>
  <c r="AF59" i="8"/>
  <c r="AG59" i="8"/>
  <c r="AE60" i="8"/>
  <c r="AF60" i="8"/>
  <c r="AG60" i="8"/>
  <c r="AE61" i="8"/>
  <c r="AF61" i="8"/>
  <c r="AG61" i="8"/>
  <c r="AE62" i="8"/>
  <c r="AF62" i="8"/>
  <c r="AG62" i="8"/>
  <c r="AE63" i="8"/>
  <c r="AF63" i="8"/>
  <c r="AG63" i="8"/>
  <c r="AE64" i="8"/>
  <c r="AF64" i="8"/>
  <c r="AG64" i="8"/>
  <c r="AE65" i="8"/>
  <c r="AF65" i="8"/>
  <c r="AG65" i="8"/>
  <c r="AE66" i="8"/>
  <c r="AF66" i="8"/>
  <c r="AG66" i="8"/>
  <c r="AE67" i="8"/>
  <c r="AF67" i="8"/>
  <c r="AG67" i="8"/>
  <c r="AE68" i="8"/>
  <c r="AF68" i="8"/>
  <c r="AG68" i="8"/>
  <c r="AF11" i="8"/>
  <c r="AG11" i="8"/>
  <c r="AE11" i="8"/>
  <c r="AT5" i="8"/>
  <c r="AL10" i="8"/>
  <c r="AK10" i="8"/>
  <c r="AJ10" i="8"/>
  <c r="AG10" i="8"/>
  <c r="AF10" i="8"/>
  <c r="AE10" i="8"/>
  <c r="AR6" i="8"/>
  <c r="AS6" i="8"/>
  <c r="AT6" i="8"/>
  <c r="AQ7" i="8"/>
  <c r="AR7" i="8"/>
  <c r="AS7" i="8"/>
  <c r="AT7" i="8"/>
  <c r="AQ8" i="8"/>
  <c r="AR8" i="8"/>
  <c r="AS8" i="8"/>
  <c r="AT8" i="8"/>
  <c r="AQ9" i="8"/>
  <c r="AR9" i="8"/>
  <c r="AS9" i="8"/>
  <c r="AT9" i="8"/>
  <c r="AQ10" i="8"/>
  <c r="AR10" i="8"/>
  <c r="AS10" i="8"/>
  <c r="AT10" i="8"/>
  <c r="AR5" i="8"/>
  <c r="AS5" i="8"/>
  <c r="AQ5" i="8"/>
  <c r="AQ6" i="8"/>
  <c r="AP7" i="8"/>
  <c r="AP8" i="8"/>
  <c r="AP9" i="8"/>
  <c r="AP10" i="8"/>
  <c r="AP6" i="8"/>
  <c r="I4" i="5"/>
  <c r="H4" i="5"/>
  <c r="K4" i="5"/>
  <c r="J4" i="5"/>
  <c r="G4" i="5"/>
  <c r="O3" i="1" a="1"/>
  <c r="O3" i="1"/>
  <c r="O4" i="1" a="1"/>
  <c r="O4" i="1" s="1"/>
  <c r="O5" i="1" a="1"/>
  <c r="O5" i="1" s="1"/>
  <c r="O6" i="1" a="1"/>
  <c r="O6" i="1" s="1"/>
  <c r="O7" i="1" a="1"/>
  <c r="O7" i="1"/>
  <c r="O8" i="1" a="1"/>
  <c r="O8" i="1" s="1"/>
  <c r="O9" i="1" a="1"/>
  <c r="O9" i="1"/>
  <c r="O10" i="1" a="1"/>
  <c r="O10" i="1"/>
  <c r="O11" i="1" a="1"/>
  <c r="O11" i="1" s="1"/>
  <c r="O12" i="1" a="1"/>
  <c r="O12" i="1" s="1"/>
  <c r="O13" i="1" a="1"/>
  <c r="O13" i="1"/>
  <c r="O14" i="1" a="1"/>
  <c r="O14" i="1" s="1"/>
  <c r="O15" i="1" a="1"/>
  <c r="O15" i="1"/>
  <c r="O16" i="1" a="1"/>
  <c r="O16" i="1" s="1"/>
  <c r="O17" i="1" a="1"/>
  <c r="O17" i="1"/>
  <c r="O18" i="1" a="1"/>
  <c r="O18" i="1" s="1"/>
  <c r="O19" i="1" a="1"/>
  <c r="O19" i="1"/>
  <c r="O20" i="1" a="1"/>
  <c r="O20" i="1" s="1"/>
  <c r="O21" i="1" a="1"/>
  <c r="O21" i="1"/>
  <c r="O22" i="1" a="1"/>
  <c r="O22" i="1"/>
  <c r="O23" i="1" a="1"/>
  <c r="O23" i="1" s="1"/>
  <c r="O24" i="1" a="1"/>
  <c r="O24" i="1" s="1"/>
  <c r="O25" i="1" a="1"/>
  <c r="O25" i="1"/>
  <c r="O26" i="1" a="1"/>
  <c r="O26" i="1" s="1"/>
  <c r="O27" i="1" a="1"/>
  <c r="O27" i="1"/>
  <c r="O28" i="1" a="1"/>
  <c r="O28" i="1"/>
  <c r="O29" i="1" a="1"/>
  <c r="O29" i="1"/>
  <c r="O30" i="1" a="1"/>
  <c r="O30" i="1" s="1"/>
  <c r="O31" i="1" a="1"/>
  <c r="O31" i="1"/>
  <c r="O32" i="1" a="1"/>
  <c r="O32" i="1" s="1"/>
  <c r="O33" i="1" a="1"/>
  <c r="O33" i="1"/>
  <c r="O34" i="1" a="1"/>
  <c r="O34" i="1" s="1"/>
  <c r="O35" i="1" a="1"/>
  <c r="O35" i="1" s="1"/>
  <c r="O36" i="1" a="1"/>
  <c r="O36" i="1" s="1"/>
  <c r="O37" i="1" a="1"/>
  <c r="O37" i="1"/>
  <c r="O38" i="1" a="1"/>
  <c r="O38" i="1" s="1"/>
  <c r="O39" i="1" a="1"/>
  <c r="O39" i="1"/>
  <c r="O40" i="1" a="1"/>
  <c r="O40" i="1" s="1"/>
  <c r="O41" i="1" a="1"/>
  <c r="O41" i="1"/>
  <c r="O42" i="1" a="1"/>
  <c r="O42" i="1" s="1"/>
  <c r="O43" i="1" a="1"/>
  <c r="O43" i="1"/>
  <c r="O44" i="1" a="1"/>
  <c r="O44" i="1" s="1"/>
  <c r="O45" i="1" a="1"/>
  <c r="O45" i="1" s="1"/>
  <c r="O46" i="1" a="1"/>
  <c r="O46" i="1"/>
  <c r="O47" i="1" a="1"/>
  <c r="O47" i="1" s="1"/>
  <c r="O48" i="1" a="1"/>
  <c r="O48" i="1" s="1"/>
  <c r="O49" i="1" a="1"/>
  <c r="O49" i="1" s="1"/>
  <c r="O50" i="1" a="1"/>
  <c r="O50" i="1" s="1"/>
  <c r="O51" i="1" a="1"/>
  <c r="O51" i="1"/>
  <c r="O52" i="1" a="1"/>
  <c r="O52" i="1" s="1"/>
  <c r="O53" i="1" a="1"/>
  <c r="O53" i="1"/>
  <c r="O54" i="1" a="1"/>
  <c r="O54" i="1" s="1"/>
  <c r="O55" i="1" a="1"/>
  <c r="O55" i="1"/>
  <c r="O56" i="1" a="1"/>
  <c r="O56" i="1" s="1"/>
  <c r="O57" i="1" a="1"/>
  <c r="O57" i="1"/>
  <c r="O58" i="1" a="1"/>
  <c r="O58" i="1"/>
  <c r="O59" i="1" a="1"/>
  <c r="O59" i="1" s="1"/>
  <c r="O60" i="1" a="1"/>
  <c r="O60" i="1" s="1"/>
  <c r="O61" i="1" a="1"/>
  <c r="O61" i="1"/>
  <c r="O62" i="1" a="1"/>
  <c r="O62" i="1" s="1"/>
  <c r="O63" i="1" a="1"/>
  <c r="O63" i="1" s="1"/>
  <c r="O64" i="1" a="1"/>
  <c r="O64" i="1" s="1"/>
  <c r="O65" i="1" a="1"/>
  <c r="O65" i="1"/>
  <c r="O66" i="1" a="1"/>
  <c r="O66" i="1" s="1"/>
  <c r="O67" i="1" a="1"/>
  <c r="O67" i="1" s="1"/>
  <c r="O68" i="1" a="1"/>
  <c r="O68" i="1" s="1"/>
  <c r="O69" i="1" a="1"/>
  <c r="O69" i="1" s="1"/>
  <c r="O70" i="1" a="1"/>
  <c r="O70" i="1"/>
  <c r="O71" i="1" a="1"/>
  <c r="O71" i="1" s="1"/>
  <c r="O72" i="1" a="1"/>
  <c r="O72" i="1" s="1"/>
  <c r="O73" i="1" a="1"/>
  <c r="O73" i="1"/>
  <c r="O74" i="1" a="1"/>
  <c r="O74" i="1" s="1"/>
  <c r="O75" i="1" a="1"/>
  <c r="O75" i="1"/>
  <c r="O76" i="1" a="1"/>
  <c r="O76" i="1" s="1"/>
  <c r="O77" i="1" a="1"/>
  <c r="O77" i="1" s="1"/>
  <c r="O78" i="1" a="1"/>
  <c r="O78" i="1" s="1"/>
  <c r="O79" i="1" a="1"/>
  <c r="O79" i="1"/>
  <c r="O80" i="1" a="1"/>
  <c r="O80" i="1" s="1"/>
  <c r="O81" i="1" a="1"/>
  <c r="O81" i="1" s="1"/>
  <c r="O82" i="1" a="1"/>
  <c r="O82" i="1"/>
  <c r="O83" i="1" a="1"/>
  <c r="O83" i="1" s="1"/>
  <c r="O84" i="1" a="1"/>
  <c r="O84" i="1" s="1"/>
  <c r="O85" i="1" a="1"/>
  <c r="O85" i="1" s="1"/>
  <c r="O86" i="1" a="1"/>
  <c r="O86" i="1" s="1"/>
  <c r="O87" i="1" a="1"/>
  <c r="O87" i="1"/>
  <c r="O88" i="1" a="1"/>
  <c r="O88" i="1" s="1"/>
  <c r="O89" i="1" a="1"/>
  <c r="O89" i="1"/>
  <c r="O90" i="1" a="1"/>
  <c r="O90" i="1" s="1"/>
  <c r="O91" i="1" a="1"/>
  <c r="O91" i="1"/>
  <c r="O92" i="1" a="1"/>
  <c r="O92" i="1" s="1"/>
  <c r="O93" i="1" a="1"/>
  <c r="O93" i="1" s="1"/>
  <c r="O94" i="1" a="1"/>
  <c r="O94" i="1"/>
  <c r="O95" i="1" a="1"/>
  <c r="O95" i="1" s="1"/>
  <c r="O96" i="1" a="1"/>
  <c r="O96" i="1" s="1"/>
  <c r="O97" i="1" a="1"/>
  <c r="O97" i="1" s="1"/>
  <c r="O98" i="1" a="1"/>
  <c r="O98" i="1" s="1"/>
  <c r="O99" i="1" a="1"/>
  <c r="O99" i="1" s="1"/>
  <c r="O100" i="1" a="1"/>
  <c r="O100" i="1" s="1"/>
  <c r="O101" i="1" a="1"/>
  <c r="O101" i="1"/>
  <c r="O102" i="1" a="1"/>
  <c r="O102" i="1" s="1"/>
  <c r="O103" i="1" a="1"/>
  <c r="O103" i="1" s="1"/>
  <c r="O104" i="1" a="1"/>
  <c r="O104" i="1" s="1"/>
  <c r="O105" i="1" a="1"/>
  <c r="O105" i="1" s="1"/>
  <c r="O106" i="1" a="1"/>
  <c r="O106" i="1" s="1"/>
  <c r="O107" i="1" a="1"/>
  <c r="O107" i="1" s="1"/>
  <c r="O108" i="1" a="1"/>
  <c r="O108" i="1" s="1"/>
  <c r="O109" i="1" a="1"/>
  <c r="O109" i="1"/>
  <c r="O110" i="1" a="1"/>
  <c r="O110" i="1" s="1"/>
  <c r="O111" i="1" a="1"/>
  <c r="O111" i="1"/>
  <c r="O112" i="1" a="1"/>
  <c r="O112" i="1" s="1"/>
  <c r="O113" i="1" a="1"/>
  <c r="O113" i="1"/>
  <c r="O114" i="1" a="1"/>
  <c r="O114" i="1" s="1"/>
  <c r="O115" i="1" a="1"/>
  <c r="O115" i="1"/>
  <c r="O116" i="1" a="1"/>
  <c r="O116" i="1" s="1"/>
  <c r="O117" i="1" a="1"/>
  <c r="O117" i="1" s="1"/>
  <c r="O118" i="1" a="1"/>
  <c r="O118" i="1"/>
  <c r="O119" i="1" a="1"/>
  <c r="O119" i="1" s="1"/>
  <c r="O120" i="1" a="1"/>
  <c r="O120" i="1" s="1"/>
  <c r="O121" i="1" a="1"/>
  <c r="O121" i="1" s="1"/>
  <c r="O122" i="1" a="1"/>
  <c r="O122" i="1" s="1"/>
  <c r="O123" i="1" a="1"/>
  <c r="O123" i="1"/>
  <c r="O124" i="1" a="1"/>
  <c r="O124" i="1" s="1"/>
  <c r="O125" i="1" a="1"/>
  <c r="O125" i="1"/>
  <c r="O126" i="1" a="1"/>
  <c r="O126" i="1" s="1"/>
  <c r="O127" i="1" a="1"/>
  <c r="O127" i="1"/>
  <c r="O128" i="1" a="1"/>
  <c r="O128" i="1" s="1"/>
  <c r="O129" i="1" a="1"/>
  <c r="O129" i="1" s="1"/>
  <c r="O130" i="1" a="1"/>
  <c r="O130" i="1"/>
  <c r="O131" i="1" a="1"/>
  <c r="O131" i="1" s="1"/>
  <c r="O132" i="1" a="1"/>
  <c r="O132" i="1" s="1"/>
  <c r="O133" i="1" a="1"/>
  <c r="O133" i="1" s="1"/>
  <c r="O134" i="1" a="1"/>
  <c r="O134" i="1" s="1"/>
  <c r="O135" i="1" a="1"/>
  <c r="O135" i="1" s="1"/>
  <c r="O136" i="1" a="1"/>
  <c r="O136" i="1" s="1"/>
  <c r="O137" i="1" a="1"/>
  <c r="O137" i="1"/>
  <c r="O138" i="1" a="1"/>
  <c r="O138" i="1" s="1"/>
  <c r="O139" i="1" a="1"/>
  <c r="O139" i="1" s="1"/>
  <c r="O140" i="1" a="1"/>
  <c r="O140" i="1" s="1"/>
  <c r="O141" i="1" a="1"/>
  <c r="O141" i="1" s="1"/>
  <c r="O142" i="1" a="1"/>
  <c r="O142" i="1" s="1"/>
  <c r="O143" i="1" a="1"/>
  <c r="O143" i="1" s="1"/>
  <c r="O144" i="1" a="1"/>
  <c r="O144" i="1" s="1"/>
  <c r="O145" i="1" a="1"/>
  <c r="O145" i="1"/>
  <c r="O146" i="1" a="1"/>
  <c r="O146" i="1" s="1"/>
  <c r="O147" i="1" a="1"/>
  <c r="O147" i="1"/>
  <c r="O148" i="1" a="1"/>
  <c r="O148" i="1" s="1"/>
  <c r="O149" i="1" a="1"/>
  <c r="O149" i="1"/>
  <c r="O150" i="1" a="1"/>
  <c r="O150" i="1" s="1"/>
  <c r="O151" i="1" a="1"/>
  <c r="O151" i="1"/>
  <c r="O152" i="1" a="1"/>
  <c r="O152" i="1" s="1"/>
  <c r="O153" i="1" a="1"/>
  <c r="O153" i="1" s="1"/>
  <c r="O154" i="1" a="1"/>
  <c r="O154" i="1"/>
  <c r="O155" i="1" a="1"/>
  <c r="O155" i="1" s="1"/>
  <c r="O156" i="1" a="1"/>
  <c r="O156" i="1" s="1"/>
  <c r="O157" i="1" a="1"/>
  <c r="O157" i="1" s="1"/>
  <c r="O158" i="1" a="1"/>
  <c r="O158" i="1" s="1"/>
  <c r="O159" i="1" a="1"/>
  <c r="O159" i="1"/>
  <c r="O160" i="1" a="1"/>
  <c r="O160" i="1" s="1"/>
  <c r="O161" i="1" a="1"/>
  <c r="O161" i="1"/>
  <c r="O162" i="1" a="1"/>
  <c r="O162" i="1" s="1"/>
  <c r="O163" i="1" a="1"/>
  <c r="O163" i="1"/>
  <c r="O164" i="1" a="1"/>
  <c r="O164" i="1" s="1"/>
  <c r="O165" i="1" a="1"/>
  <c r="O165" i="1" s="1"/>
  <c r="O166" i="1" a="1"/>
  <c r="O166" i="1"/>
  <c r="O167" i="1" a="1"/>
  <c r="O167" i="1" s="1"/>
  <c r="O168" i="1" a="1"/>
  <c r="O168" i="1" s="1"/>
  <c r="O169" i="1" a="1"/>
  <c r="O169" i="1" s="1"/>
  <c r="O170" i="1" a="1"/>
  <c r="O170" i="1" s="1"/>
  <c r="O171" i="1" a="1"/>
  <c r="O171" i="1" s="1"/>
  <c r="O172" i="1" a="1"/>
  <c r="O172" i="1" s="1"/>
  <c r="O173" i="1" a="1"/>
  <c r="O173" i="1"/>
  <c r="O174" i="1" a="1"/>
  <c r="O174" i="1" s="1"/>
  <c r="O175" i="1" a="1"/>
  <c r="O175" i="1"/>
  <c r="O176" i="1" a="1"/>
  <c r="O176" i="1" s="1"/>
  <c r="O177" i="1" a="1"/>
  <c r="O177" i="1" s="1"/>
  <c r="O178" i="1" a="1"/>
  <c r="O178" i="1" s="1"/>
  <c r="O179" i="1" a="1"/>
  <c r="O179" i="1" s="1"/>
  <c r="O180" i="1" a="1"/>
  <c r="O180" i="1" s="1"/>
  <c r="O181" i="1" a="1"/>
  <c r="O181" i="1"/>
  <c r="O182" i="1" a="1"/>
  <c r="O182" i="1" s="1"/>
  <c r="O183" i="1" a="1"/>
  <c r="O183" i="1"/>
  <c r="O184" i="1" a="1"/>
  <c r="O184" i="1" s="1"/>
  <c r="O185" i="1" a="1"/>
  <c r="O185" i="1" s="1"/>
  <c r="O186" i="1" a="1"/>
  <c r="O186" i="1" s="1"/>
  <c r="O187" i="1" a="1"/>
  <c r="O187" i="1"/>
  <c r="O188" i="1" a="1"/>
  <c r="O188" i="1" s="1"/>
  <c r="O189" i="1" a="1"/>
  <c r="O189" i="1" s="1"/>
  <c r="O190" i="1" a="1"/>
  <c r="O190" i="1"/>
  <c r="O191" i="1" a="1"/>
  <c r="O191" i="1" s="1"/>
  <c r="O192" i="1" a="1"/>
  <c r="O192" i="1" s="1"/>
  <c r="O193" i="1" a="1"/>
  <c r="O193" i="1" s="1"/>
  <c r="O194" i="1" a="1"/>
  <c r="O194" i="1" s="1"/>
  <c r="O195" i="1" a="1"/>
  <c r="O195" i="1"/>
  <c r="O196" i="1" a="1"/>
  <c r="O196" i="1" s="1"/>
  <c r="O197" i="1" a="1"/>
  <c r="O197" i="1"/>
  <c r="O198" i="1" a="1"/>
  <c r="O198" i="1" s="1"/>
  <c r="O199" i="1" a="1"/>
  <c r="O199" i="1"/>
  <c r="O200" i="1" a="1"/>
  <c r="O200" i="1" s="1"/>
  <c r="O201" i="1" a="1"/>
  <c r="O201" i="1" s="1"/>
  <c r="O202" i="1" a="1"/>
  <c r="O202" i="1"/>
  <c r="O203" i="1" a="1"/>
  <c r="O203" i="1" s="1"/>
  <c r="O204" i="1" a="1"/>
  <c r="O204" i="1" s="1"/>
  <c r="O205" i="1" a="1"/>
  <c r="O205" i="1" s="1"/>
  <c r="O206" i="1" a="1"/>
  <c r="O206" i="1" s="1"/>
  <c r="O207" i="1" a="1"/>
  <c r="O207" i="1"/>
  <c r="O208" i="1" a="1"/>
  <c r="O208" i="1" s="1"/>
  <c r="O209" i="1" a="1"/>
  <c r="O209" i="1"/>
  <c r="O210" i="1" a="1"/>
  <c r="O210" i="1" s="1"/>
  <c r="O211" i="1" a="1"/>
  <c r="O211" i="1"/>
  <c r="O212" i="1" a="1"/>
  <c r="O212" i="1" s="1"/>
  <c r="O213" i="1" a="1"/>
  <c r="O213" i="1" s="1"/>
  <c r="O214" i="1" a="1"/>
  <c r="O214" i="1" s="1"/>
  <c r="O215" i="1" a="1"/>
  <c r="O215" i="1" s="1"/>
  <c r="O216" i="1" a="1"/>
  <c r="O216" i="1" s="1"/>
  <c r="O217" i="1" a="1"/>
  <c r="O217" i="1" s="1"/>
  <c r="O218" i="1" a="1"/>
  <c r="O218" i="1" s="1"/>
  <c r="O219" i="1" a="1"/>
  <c r="O219" i="1"/>
  <c r="O220" i="1" a="1"/>
  <c r="O220" i="1" s="1"/>
  <c r="O221" i="1" a="1"/>
  <c r="O221" i="1" s="1"/>
  <c r="O222" i="1" a="1"/>
  <c r="O222" i="1" s="1"/>
  <c r="O223" i="1" a="1"/>
  <c r="O223" i="1"/>
  <c r="O224" i="1" a="1"/>
  <c r="O224" i="1" s="1"/>
  <c r="O225" i="1" a="1"/>
  <c r="O225" i="1" s="1"/>
  <c r="O226" i="1" a="1"/>
  <c r="O226" i="1"/>
  <c r="O227" i="1" a="1"/>
  <c r="O227" i="1" s="1"/>
  <c r="O228" i="1" a="1"/>
  <c r="O228" i="1" s="1"/>
  <c r="O229" i="1" a="1"/>
  <c r="O229" i="1" s="1"/>
  <c r="O230" i="1" a="1"/>
  <c r="O230" i="1" s="1"/>
  <c r="O231" i="1" a="1"/>
  <c r="O231" i="1"/>
  <c r="O232" i="1" a="1"/>
  <c r="O232" i="1" s="1"/>
  <c r="O233" i="1" a="1"/>
  <c r="O233" i="1"/>
  <c r="O234" i="1" a="1"/>
  <c r="O234" i="1" s="1"/>
  <c r="O235" i="1" a="1"/>
  <c r="O235" i="1"/>
  <c r="O236" i="1" a="1"/>
  <c r="O236" i="1" s="1"/>
  <c r="O237" i="1" a="1"/>
  <c r="O237" i="1" s="1"/>
  <c r="O238" i="1" a="1"/>
  <c r="O238" i="1"/>
  <c r="O239" i="1" a="1"/>
  <c r="O239" i="1" s="1"/>
  <c r="O240" i="1" a="1"/>
  <c r="O240" i="1" s="1"/>
  <c r="O241" i="1" a="1"/>
  <c r="O241" i="1"/>
  <c r="O242" i="1" a="1"/>
  <c r="O242" i="1" s="1"/>
  <c r="O243" i="1" a="1"/>
  <c r="O243" i="1" s="1"/>
  <c r="O244" i="1" a="1"/>
  <c r="O244" i="1" s="1"/>
  <c r="O245" i="1" a="1"/>
  <c r="O245" i="1"/>
  <c r="O246" i="1" a="1"/>
  <c r="O246" i="1" s="1"/>
  <c r="O247" i="1" a="1"/>
  <c r="O247" i="1"/>
  <c r="O248" i="1" a="1"/>
  <c r="O248" i="1" s="1"/>
  <c r="O249" i="1" a="1"/>
  <c r="O249" i="1" s="1"/>
  <c r="O250" i="1" a="1"/>
  <c r="O250" i="1"/>
  <c r="O251" i="1" a="1"/>
  <c r="O251" i="1" s="1"/>
  <c r="O252" i="1" a="1"/>
  <c r="O252" i="1" s="1"/>
  <c r="O253" i="1" a="1"/>
  <c r="O253" i="1"/>
  <c r="O254" i="1" a="1"/>
  <c r="O254" i="1" s="1"/>
  <c r="O255" i="1" a="1"/>
  <c r="O255" i="1"/>
  <c r="O256" i="1" a="1"/>
  <c r="O256" i="1" s="1"/>
  <c r="O257" i="1" a="1"/>
  <c r="O257" i="1" s="1"/>
  <c r="O258" i="1" a="1"/>
  <c r="O258" i="1" s="1"/>
  <c r="O259" i="1" a="1"/>
  <c r="O259" i="1"/>
  <c r="O260" i="1" a="1"/>
  <c r="O260" i="1" s="1"/>
  <c r="O261" i="1" a="1"/>
  <c r="O261" i="1" s="1"/>
  <c r="O262" i="1" a="1"/>
  <c r="O262" i="1"/>
  <c r="O263" i="1" a="1"/>
  <c r="O263" i="1" s="1"/>
  <c r="O264" i="1" a="1"/>
  <c r="O264" i="1" s="1"/>
  <c r="O265" i="1" a="1"/>
  <c r="O265" i="1" s="1"/>
  <c r="O266" i="1" a="1"/>
  <c r="O266" i="1" s="1"/>
  <c r="O267" i="1" a="1"/>
  <c r="O267" i="1"/>
  <c r="O268" i="1" a="1"/>
  <c r="O268" i="1" s="1"/>
  <c r="O269" i="1" a="1"/>
  <c r="O269" i="1"/>
  <c r="O270" i="1" a="1"/>
  <c r="O270" i="1" s="1"/>
  <c r="O271" i="1" a="1"/>
  <c r="O271" i="1"/>
  <c r="O272" i="1" a="1"/>
  <c r="O272" i="1" s="1"/>
  <c r="O273" i="1" a="1"/>
  <c r="O273" i="1" s="1"/>
  <c r="O274" i="1" a="1"/>
  <c r="O274" i="1"/>
  <c r="O275" i="1" a="1"/>
  <c r="O275" i="1" s="1"/>
  <c r="O276" i="1" a="1"/>
  <c r="O276" i="1" s="1"/>
  <c r="O277" i="1" a="1"/>
  <c r="O277" i="1" s="1"/>
  <c r="O278" i="1" a="1"/>
  <c r="O278" i="1" s="1"/>
  <c r="O279" i="1" a="1"/>
  <c r="O279" i="1"/>
  <c r="O280" i="1" a="1"/>
  <c r="O280" i="1" s="1"/>
  <c r="O281" i="1" a="1"/>
  <c r="O281" i="1"/>
  <c r="O282" i="1" a="1"/>
  <c r="O282" i="1" s="1"/>
  <c r="O283" i="1" a="1"/>
  <c r="O283" i="1"/>
  <c r="O284" i="1" a="1"/>
  <c r="O284" i="1" s="1"/>
  <c r="O285" i="1" a="1"/>
  <c r="O285" i="1" s="1"/>
  <c r="O286" i="1" a="1"/>
  <c r="O286" i="1" s="1"/>
  <c r="O287" i="1" a="1"/>
  <c r="O287" i="1" s="1"/>
  <c r="O288" i="1" a="1"/>
  <c r="O288" i="1" s="1"/>
  <c r="O289" i="1" a="1"/>
  <c r="O289" i="1" s="1"/>
  <c r="O290" i="1" a="1"/>
  <c r="O290" i="1" s="1"/>
  <c r="O291" i="1" a="1"/>
  <c r="O291" i="1"/>
  <c r="O292" i="1" a="1"/>
  <c r="O292" i="1" s="1"/>
  <c r="O293" i="1" a="1"/>
  <c r="O293" i="1"/>
  <c r="O294" i="1" a="1"/>
  <c r="O294" i="1" s="1"/>
  <c r="O295" i="1" a="1"/>
  <c r="O295" i="1"/>
  <c r="O296" i="1" a="1"/>
  <c r="O296" i="1" s="1"/>
  <c r="O297" i="1" a="1"/>
  <c r="O297" i="1" s="1"/>
  <c r="O298" i="1" a="1"/>
  <c r="O298" i="1"/>
  <c r="O299" i="1" a="1"/>
  <c r="O299" i="1" s="1"/>
  <c r="O300" i="1" a="1"/>
  <c r="O300" i="1" s="1"/>
  <c r="O301" i="1" a="1"/>
  <c r="O301" i="1" s="1"/>
  <c r="O302" i="1" a="1"/>
  <c r="O302" i="1" s="1"/>
  <c r="O303" i="1" a="1"/>
  <c r="O303" i="1"/>
  <c r="O304" i="1" a="1"/>
  <c r="O304" i="1" s="1"/>
  <c r="O305" i="1" a="1"/>
  <c r="O305" i="1"/>
  <c r="O306" i="1" a="1"/>
  <c r="O306" i="1" s="1"/>
  <c r="O307" i="1" a="1"/>
  <c r="O307" i="1"/>
  <c r="O308" i="1" a="1"/>
  <c r="O308" i="1" s="1"/>
  <c r="O309" i="1" a="1"/>
  <c r="O309" i="1" s="1"/>
  <c r="O310" i="1" a="1"/>
  <c r="O310" i="1"/>
  <c r="O311" i="1" a="1"/>
  <c r="O311" i="1" s="1"/>
  <c r="O312" i="1" a="1"/>
  <c r="O312" i="1" s="1"/>
  <c r="O313" i="1" a="1"/>
  <c r="O313" i="1"/>
  <c r="O314" i="1" a="1"/>
  <c r="O314" i="1" s="1"/>
  <c r="O315" i="1" a="1"/>
  <c r="O315" i="1" s="1"/>
  <c r="O316" i="1" a="1"/>
  <c r="O316" i="1" s="1"/>
  <c r="O317" i="1" a="1"/>
  <c r="O317" i="1"/>
  <c r="O318" i="1" a="1"/>
  <c r="O318" i="1" s="1"/>
  <c r="O319" i="1" a="1"/>
  <c r="O319" i="1"/>
  <c r="O320" i="1" a="1"/>
  <c r="O320" i="1" s="1"/>
  <c r="O321" i="1" a="1"/>
  <c r="O321" i="1" s="1"/>
  <c r="O322" i="1" a="1"/>
  <c r="O322" i="1"/>
  <c r="O323" i="1" a="1"/>
  <c r="O323" i="1" s="1"/>
  <c r="O324" i="1" a="1"/>
  <c r="O324" i="1" s="1"/>
  <c r="O325" i="1" a="1"/>
  <c r="O325" i="1"/>
  <c r="O326" i="1" a="1"/>
  <c r="O326" i="1" s="1"/>
  <c r="O327" i="1" a="1"/>
  <c r="O327" i="1"/>
  <c r="O328" i="1" a="1"/>
  <c r="O328" i="1" s="1"/>
  <c r="O329" i="1" a="1"/>
  <c r="O329" i="1" s="1"/>
  <c r="O330" i="1" a="1"/>
  <c r="O330" i="1" s="1"/>
  <c r="O331" i="1" a="1"/>
  <c r="O331" i="1"/>
  <c r="O332" i="1" a="1"/>
  <c r="O332" i="1" s="1"/>
  <c r="O333" i="1" a="1"/>
  <c r="O333" i="1" s="1"/>
  <c r="O334" i="1" a="1"/>
  <c r="O334" i="1"/>
  <c r="O335" i="1" a="1"/>
  <c r="O335" i="1" s="1"/>
  <c r="O336" i="1" a="1"/>
  <c r="O336" i="1" s="1"/>
  <c r="O337" i="1" a="1"/>
  <c r="O337" i="1" s="1"/>
  <c r="O338" i="1" a="1"/>
  <c r="O338" i="1" s="1"/>
  <c r="O339" i="1" a="1"/>
  <c r="O339" i="1"/>
  <c r="O340" i="1" a="1"/>
  <c r="O340" i="1" s="1"/>
  <c r="O341" i="1" a="1"/>
  <c r="O341" i="1"/>
  <c r="O342" i="1" a="1"/>
  <c r="O342" i="1" s="1"/>
  <c r="O343" i="1" a="1"/>
  <c r="O343" i="1"/>
  <c r="O344" i="1" a="1"/>
  <c r="O344" i="1" s="1"/>
  <c r="O345" i="1" a="1"/>
  <c r="O345" i="1" s="1"/>
  <c r="O346" i="1" a="1"/>
  <c r="O346" i="1"/>
  <c r="O347" i="1" a="1"/>
  <c r="O347" i="1" s="1"/>
  <c r="O348" i="1" a="1"/>
  <c r="O348" i="1" s="1"/>
  <c r="O349" i="1" a="1"/>
  <c r="O349" i="1" s="1"/>
  <c r="O350" i="1" a="1"/>
  <c r="O350" i="1" s="1"/>
  <c r="O351" i="1" a="1"/>
  <c r="O351" i="1"/>
  <c r="O352" i="1" a="1"/>
  <c r="O352" i="1" s="1"/>
  <c r="O353" i="1" a="1"/>
  <c r="O353" i="1"/>
  <c r="O354" i="1" a="1"/>
  <c r="O354" i="1" s="1"/>
  <c r="O355" i="1" a="1"/>
  <c r="O355" i="1"/>
  <c r="O356" i="1" a="1"/>
  <c r="O356" i="1" s="1"/>
  <c r="O357" i="1" a="1"/>
  <c r="O357" i="1" s="1"/>
  <c r="O358" i="1" a="1"/>
  <c r="O358" i="1" s="1"/>
  <c r="O359" i="1" a="1"/>
  <c r="O359" i="1" s="1"/>
  <c r="O360" i="1" a="1"/>
  <c r="O360" i="1" s="1"/>
  <c r="O361" i="1" a="1"/>
  <c r="O361" i="1"/>
  <c r="O362" i="1" a="1"/>
  <c r="O362" i="1" s="1"/>
  <c r="O363" i="1" a="1"/>
  <c r="O363" i="1"/>
  <c r="O364" i="1" a="1"/>
  <c r="O364" i="1" s="1"/>
  <c r="O365" i="1" a="1"/>
  <c r="O365" i="1"/>
  <c r="O366" i="1" a="1"/>
  <c r="O366" i="1" s="1"/>
  <c r="O367" i="1" a="1"/>
  <c r="O367" i="1"/>
  <c r="O368" i="1" a="1"/>
  <c r="O368" i="1" s="1"/>
  <c r="O369" i="1" a="1"/>
  <c r="O369" i="1" s="1"/>
  <c r="O370" i="1" a="1"/>
  <c r="O370" i="1"/>
  <c r="O371" i="1" a="1"/>
  <c r="O371" i="1" s="1"/>
  <c r="O372" i="1" a="1"/>
  <c r="O372" i="1" s="1"/>
  <c r="O373" i="1" a="1"/>
  <c r="O373" i="1" s="1"/>
  <c r="O374" i="1" a="1"/>
  <c r="O374" i="1" s="1"/>
  <c r="O375" i="1" a="1"/>
  <c r="O375" i="1"/>
  <c r="O376" i="1" a="1"/>
  <c r="O376" i="1" s="1"/>
  <c r="O377" i="1" a="1"/>
  <c r="O377" i="1"/>
  <c r="O378" i="1" a="1"/>
  <c r="O378" i="1" s="1"/>
  <c r="O379" i="1" a="1"/>
  <c r="O379" i="1"/>
  <c r="O380" i="1" a="1"/>
  <c r="O380" i="1" s="1"/>
  <c r="O381" i="1" a="1"/>
  <c r="O381" i="1" s="1"/>
  <c r="O382" i="1" a="1"/>
  <c r="O382" i="1"/>
  <c r="O383" i="1" a="1"/>
  <c r="O383" i="1" s="1"/>
  <c r="O384" i="1" a="1"/>
  <c r="O384" i="1" s="1"/>
  <c r="O385" i="1" a="1"/>
  <c r="O385" i="1" s="1"/>
  <c r="O386" i="1" a="1"/>
  <c r="O386" i="1" s="1"/>
  <c r="O387" i="1" a="1"/>
  <c r="O387" i="1" s="1"/>
  <c r="O388" i="1" a="1"/>
  <c r="O388" i="1" s="1"/>
  <c r="O389" i="1" a="1"/>
  <c r="O389" i="1" s="1"/>
  <c r="O390" i="1" a="1"/>
  <c r="O390" i="1" s="1"/>
  <c r="O391" i="1" a="1"/>
  <c r="O391" i="1"/>
  <c r="O392" i="1" a="1"/>
  <c r="O392" i="1" s="1"/>
  <c r="O393" i="1" a="1"/>
  <c r="O393" i="1" s="1"/>
  <c r="O394" i="1" a="1"/>
  <c r="O394" i="1"/>
  <c r="O395" i="1" a="1"/>
  <c r="O395" i="1" s="1"/>
  <c r="O396" i="1" a="1"/>
  <c r="O396" i="1" s="1"/>
  <c r="O397" i="1" a="1"/>
  <c r="O397" i="1"/>
  <c r="O398" i="1" a="1"/>
  <c r="O398" i="1" s="1"/>
  <c r="O399" i="1" a="1"/>
  <c r="O399" i="1"/>
  <c r="O400" i="1" a="1"/>
  <c r="O400" i="1" s="1"/>
  <c r="O401" i="1" a="1"/>
  <c r="O401" i="1" s="1"/>
  <c r="O402" i="1" a="1"/>
  <c r="O402" i="1" s="1"/>
  <c r="O403" i="1" a="1"/>
  <c r="O403" i="1"/>
  <c r="O404" i="1" a="1"/>
  <c r="O404" i="1" s="1"/>
  <c r="O405" i="1" a="1"/>
  <c r="O405" i="1" s="1"/>
  <c r="O406" i="1" a="1"/>
  <c r="O406" i="1"/>
  <c r="O407" i="1" a="1"/>
  <c r="O407" i="1" s="1"/>
  <c r="O408" i="1" a="1"/>
  <c r="O408" i="1" s="1"/>
  <c r="O409" i="1" a="1"/>
  <c r="O409" i="1" s="1"/>
  <c r="O410" i="1" a="1"/>
  <c r="O410" i="1" s="1"/>
  <c r="O411" i="1" a="1"/>
  <c r="O411" i="1" s="1"/>
  <c r="O412" i="1" a="1"/>
  <c r="O412" i="1" s="1"/>
  <c r="O413" i="1" a="1"/>
  <c r="O413" i="1"/>
  <c r="O414" i="1" a="1"/>
  <c r="O414" i="1" s="1"/>
  <c r="O415" i="1" a="1"/>
  <c r="O415" i="1"/>
  <c r="O416" i="1" a="1"/>
  <c r="O416" i="1" s="1"/>
  <c r="O417" i="1" a="1"/>
  <c r="O417" i="1" s="1"/>
  <c r="O418" i="1" a="1"/>
  <c r="O418" i="1" s="1"/>
  <c r="O419" i="1" a="1"/>
  <c r="O419" i="1" s="1"/>
  <c r="O420" i="1" a="1"/>
  <c r="O420" i="1" s="1"/>
  <c r="O421" i="1" a="1"/>
  <c r="O421" i="1" s="1"/>
  <c r="O422" i="1" a="1"/>
  <c r="O422" i="1" s="1"/>
  <c r="O423" i="1" a="1"/>
  <c r="O423" i="1" s="1"/>
  <c r="O424" i="1" a="1"/>
  <c r="O424" i="1" s="1"/>
  <c r="O425" i="1" a="1"/>
  <c r="O425" i="1"/>
  <c r="O426" i="1" a="1"/>
  <c r="O426" i="1" s="1"/>
  <c r="O427" i="1" a="1"/>
  <c r="O427" i="1"/>
  <c r="O428" i="1" a="1"/>
  <c r="O428" i="1" s="1"/>
  <c r="O429" i="1" a="1"/>
  <c r="O429" i="1" s="1"/>
  <c r="O430" i="1" a="1"/>
  <c r="O430" i="1"/>
  <c r="O431" i="1" a="1"/>
  <c r="O431" i="1" s="1"/>
  <c r="O432" i="1" a="1"/>
  <c r="O432" i="1" s="1"/>
  <c r="O433" i="1" a="1"/>
  <c r="O433" i="1"/>
  <c r="O434" i="1" a="1"/>
  <c r="O434" i="1" s="1"/>
  <c r="O435" i="1" a="1"/>
  <c r="O435" i="1"/>
  <c r="O436" i="1" a="1"/>
  <c r="O436" i="1" s="1"/>
  <c r="O437" i="1" a="1"/>
  <c r="O437" i="1" s="1"/>
  <c r="O438" i="1" a="1"/>
  <c r="O438" i="1" s="1"/>
  <c r="O439" i="1" a="1"/>
  <c r="O439" i="1"/>
  <c r="O440" i="1" a="1"/>
  <c r="O440" i="1" s="1"/>
  <c r="O441" i="1" a="1"/>
  <c r="O441" i="1" s="1"/>
  <c r="O442" i="1" a="1"/>
  <c r="O442" i="1"/>
  <c r="O443" i="1" a="1"/>
  <c r="O443" i="1" s="1"/>
  <c r="O444" i="1" a="1"/>
  <c r="O444" i="1" s="1"/>
  <c r="O445" i="1" a="1"/>
  <c r="O445" i="1" s="1"/>
  <c r="O446" i="1" a="1"/>
  <c r="O446" i="1" s="1"/>
  <c r="O447" i="1" a="1"/>
  <c r="O447" i="1" s="1"/>
  <c r="O448" i="1" a="1"/>
  <c r="O448" i="1" s="1"/>
  <c r="O449" i="1" a="1"/>
  <c r="O449" i="1"/>
  <c r="O450" i="1" a="1"/>
  <c r="O450" i="1" s="1"/>
  <c r="O451" i="1" a="1"/>
  <c r="O451" i="1"/>
  <c r="O452" i="1" a="1"/>
  <c r="O452" i="1" s="1"/>
  <c r="O453" i="1" a="1"/>
  <c r="O453" i="1" s="1"/>
  <c r="O454" i="1" a="1"/>
  <c r="O454" i="1" s="1"/>
  <c r="O455" i="1" a="1"/>
  <c r="O455" i="1" s="1"/>
  <c r="O456" i="1" a="1"/>
  <c r="O456" i="1" s="1"/>
  <c r="O457" i="1" a="1"/>
  <c r="O457" i="1" s="1"/>
  <c r="O458" i="1" a="1"/>
  <c r="O458" i="1" s="1"/>
  <c r="O459" i="1" a="1"/>
  <c r="O459" i="1"/>
  <c r="O460" i="1" a="1"/>
  <c r="O460" i="1" s="1"/>
  <c r="O461" i="1" a="1"/>
  <c r="O461" i="1" s="1"/>
  <c r="O462" i="1" a="1"/>
  <c r="O462" i="1" s="1"/>
  <c r="O463" i="1" a="1"/>
  <c r="O463" i="1"/>
  <c r="O464" i="1" a="1"/>
  <c r="O464" i="1" s="1"/>
  <c r="O465" i="1" a="1"/>
  <c r="O465" i="1" s="1"/>
  <c r="O466" i="1" a="1"/>
  <c r="O466" i="1" s="1"/>
  <c r="O467" i="1" a="1"/>
  <c r="O467" i="1" s="1"/>
  <c r="O468" i="1" a="1"/>
  <c r="O468" i="1" s="1"/>
  <c r="O469" i="1" a="1"/>
  <c r="O469" i="1"/>
  <c r="O470" i="1" a="1"/>
  <c r="O470" i="1" s="1"/>
  <c r="O471" i="1" a="1"/>
  <c r="O471" i="1" s="1"/>
  <c r="O472" i="1" a="1"/>
  <c r="O472" i="1" s="1"/>
  <c r="O473" i="1" a="1"/>
  <c r="O473" i="1"/>
  <c r="O474" i="1" a="1"/>
  <c r="O474" i="1" s="1"/>
  <c r="O475" i="1" a="1"/>
  <c r="O475" i="1"/>
  <c r="O476" i="1" a="1"/>
  <c r="O476" i="1" s="1"/>
  <c r="O477" i="1" a="1"/>
  <c r="O477" i="1" s="1"/>
  <c r="O478" i="1" a="1"/>
  <c r="O478" i="1" s="1"/>
  <c r="O479" i="1" a="1"/>
  <c r="O479" i="1" s="1"/>
  <c r="O480" i="1" a="1"/>
  <c r="O480" i="1" s="1"/>
  <c r="O481" i="1" a="1"/>
  <c r="O481" i="1" s="1"/>
  <c r="O482" i="1" a="1"/>
  <c r="O482" i="1" s="1"/>
  <c r="O483" i="1" a="1"/>
  <c r="O483" i="1" s="1"/>
  <c r="O484" i="1" a="1"/>
  <c r="O484" i="1" s="1"/>
  <c r="O485" i="1" a="1"/>
  <c r="O485" i="1" s="1"/>
  <c r="O486" i="1" a="1"/>
  <c r="O486" i="1" s="1"/>
  <c r="O487" i="1" a="1"/>
  <c r="O487" i="1"/>
  <c r="O488" i="1" a="1"/>
  <c r="O488" i="1" s="1"/>
  <c r="O489" i="1" a="1"/>
  <c r="O489" i="1" s="1"/>
  <c r="O490" i="1" a="1"/>
  <c r="O490" i="1"/>
  <c r="O491" i="1" a="1"/>
  <c r="O491" i="1" s="1"/>
  <c r="O492" i="1" a="1"/>
  <c r="O492" i="1" s="1"/>
  <c r="O493" i="1" a="1"/>
  <c r="O493" i="1" s="1"/>
  <c r="O494" i="1" a="1"/>
  <c r="O494" i="1" s="1"/>
  <c r="O495" i="1" a="1"/>
  <c r="O495" i="1" s="1"/>
  <c r="O496" i="1" a="1"/>
  <c r="O496" i="1" s="1"/>
  <c r="O497" i="1" a="1"/>
  <c r="O497" i="1"/>
  <c r="O498" i="1" a="1"/>
  <c r="O498" i="1" s="1"/>
  <c r="O499" i="1" a="1"/>
  <c r="O499" i="1"/>
  <c r="O500" i="1" a="1"/>
  <c r="O500" i="1" s="1"/>
  <c r="O501" i="1" a="1"/>
  <c r="O501" i="1" s="1"/>
  <c r="O502" i="1" a="1"/>
  <c r="O502" i="1" s="1"/>
  <c r="O503" i="1" a="1"/>
  <c r="O503" i="1" s="1"/>
  <c r="O504" i="1" a="1"/>
  <c r="O504" i="1" s="1"/>
  <c r="O505" i="1" a="1"/>
  <c r="O505" i="1" s="1"/>
  <c r="O506" i="1" a="1"/>
  <c r="O506" i="1" s="1"/>
  <c r="O507" i="1" a="1"/>
  <c r="O507" i="1"/>
  <c r="O508" i="1" a="1"/>
  <c r="O508" i="1" s="1"/>
  <c r="O509" i="1" a="1"/>
  <c r="O509" i="1"/>
  <c r="O510" i="1" a="1"/>
  <c r="O510" i="1" s="1"/>
  <c r="O511" i="1" a="1"/>
  <c r="O511" i="1"/>
  <c r="O512" i="1" a="1"/>
  <c r="O512" i="1" s="1"/>
  <c r="O513" i="1" a="1"/>
  <c r="O513" i="1" s="1"/>
  <c r="O514" i="1" a="1"/>
  <c r="O514" i="1"/>
  <c r="O515" i="1" a="1"/>
  <c r="O515" i="1" s="1"/>
  <c r="O516" i="1" a="1"/>
  <c r="O516" i="1" s="1"/>
  <c r="O517" i="1" a="1"/>
  <c r="O517" i="1" s="1"/>
  <c r="O518" i="1" a="1"/>
  <c r="O518" i="1" s="1"/>
  <c r="O519" i="1" a="1"/>
  <c r="O519" i="1" s="1"/>
  <c r="O520" i="1" a="1"/>
  <c r="O520" i="1" s="1"/>
  <c r="O521" i="1" a="1"/>
  <c r="O521" i="1" s="1"/>
  <c r="O522" i="1" a="1"/>
  <c r="O522" i="1" s="1"/>
  <c r="O523" i="1" a="1"/>
  <c r="O523" i="1" s="1"/>
  <c r="O524" i="1" a="1"/>
  <c r="O524" i="1" s="1"/>
  <c r="O525" i="1" a="1"/>
  <c r="O525" i="1" s="1"/>
  <c r="O526" i="1" a="1"/>
  <c r="O526" i="1" s="1"/>
  <c r="O527" i="1" a="1"/>
  <c r="O527" i="1" s="1"/>
  <c r="O528" i="1" a="1"/>
  <c r="O528" i="1" s="1"/>
  <c r="O529" i="1" a="1"/>
  <c r="O529" i="1" s="1"/>
  <c r="O530" i="1" a="1"/>
  <c r="O530" i="1" s="1"/>
  <c r="O531" i="1" a="1"/>
  <c r="O531" i="1" s="1"/>
  <c r="O532" i="1" a="1"/>
  <c r="O532" i="1" s="1"/>
  <c r="O533" i="1" a="1"/>
  <c r="O533" i="1" s="1"/>
  <c r="O534" i="1" a="1"/>
  <c r="O534" i="1" s="1"/>
  <c r="O535" i="1" a="1"/>
  <c r="O535" i="1" s="1"/>
  <c r="O536" i="1" a="1"/>
  <c r="O536" i="1" s="1"/>
  <c r="O537" i="1" a="1"/>
  <c r="O537" i="1" s="1"/>
  <c r="O538" i="1" a="1"/>
  <c r="O538" i="1" s="1"/>
  <c r="O539" i="1" a="1"/>
  <c r="O539" i="1" s="1"/>
  <c r="O540" i="1" a="1"/>
  <c r="O540" i="1" s="1"/>
  <c r="O541" i="1" a="1"/>
  <c r="O541" i="1" s="1"/>
  <c r="O542" i="1" a="1"/>
  <c r="O542" i="1" s="1"/>
  <c r="O543" i="1" a="1"/>
  <c r="O543" i="1" s="1"/>
  <c r="O544" i="1" a="1"/>
  <c r="O544" i="1" s="1"/>
  <c r="O545" i="1" a="1"/>
  <c r="O545" i="1" s="1"/>
  <c r="O546" i="1" a="1"/>
  <c r="O546" i="1" s="1"/>
  <c r="O547" i="1" a="1"/>
  <c r="O547" i="1" s="1"/>
  <c r="O548" i="1" a="1"/>
  <c r="O548" i="1" s="1"/>
  <c r="O549" i="1" a="1"/>
  <c r="O549" i="1" s="1"/>
  <c r="O550" i="1" a="1"/>
  <c r="O550" i="1" s="1"/>
  <c r="O551" i="1" a="1"/>
  <c r="O551" i="1" s="1"/>
  <c r="O552" i="1" a="1"/>
  <c r="O552" i="1" s="1"/>
  <c r="O553" i="1" a="1"/>
  <c r="O553" i="1" s="1"/>
  <c r="O554" i="1" a="1"/>
  <c r="O554" i="1" s="1"/>
  <c r="O555" i="1" a="1"/>
  <c r="O555" i="1" s="1"/>
  <c r="O556" i="1" a="1"/>
  <c r="O556" i="1" s="1"/>
  <c r="O557" i="1" a="1"/>
  <c r="O557" i="1" s="1"/>
  <c r="O558" i="1" a="1"/>
  <c r="O558" i="1"/>
  <c r="O559" i="1" a="1"/>
  <c r="O559" i="1" s="1"/>
  <c r="O560" i="1" a="1"/>
  <c r="O560" i="1" s="1"/>
  <c r="O561" i="1" a="1"/>
  <c r="O561" i="1" s="1"/>
  <c r="O562" i="1" a="1"/>
  <c r="O562" i="1" s="1"/>
  <c r="O563" i="1" a="1"/>
  <c r="O563" i="1" s="1"/>
  <c r="O564" i="1" a="1"/>
  <c r="O564" i="1" s="1"/>
  <c r="O565" i="1" a="1"/>
  <c r="O565" i="1" s="1"/>
  <c r="O566" i="1" a="1"/>
  <c r="O566" i="1" s="1"/>
  <c r="O567" i="1" a="1"/>
  <c r="O567" i="1" s="1"/>
  <c r="O568" i="1" a="1"/>
  <c r="O568" i="1" s="1"/>
  <c r="O569" i="1" a="1"/>
  <c r="O569" i="1" s="1"/>
  <c r="O570" i="1" a="1"/>
  <c r="O570" i="1" s="1"/>
  <c r="O571" i="1" a="1"/>
  <c r="O571" i="1" s="1"/>
  <c r="O572" i="1" a="1"/>
  <c r="O572" i="1" s="1"/>
  <c r="O573" i="1" a="1"/>
  <c r="O573" i="1" s="1"/>
  <c r="O574" i="1" a="1"/>
  <c r="O574" i="1" s="1"/>
  <c r="O575" i="1" a="1"/>
  <c r="O575" i="1" s="1"/>
  <c r="O576" i="1" a="1"/>
  <c r="O576" i="1" s="1"/>
  <c r="O577" i="1" a="1"/>
  <c r="O577" i="1" s="1"/>
  <c r="O578" i="1" a="1"/>
  <c r="O578" i="1" s="1"/>
  <c r="O579" i="1" a="1"/>
  <c r="O579" i="1" s="1"/>
  <c r="O580" i="1" a="1"/>
  <c r="O580" i="1" s="1"/>
  <c r="O581" i="1" a="1"/>
  <c r="O581" i="1" s="1"/>
  <c r="O582" i="1" a="1"/>
  <c r="O582" i="1" s="1"/>
  <c r="O583" i="1" a="1"/>
  <c r="O583" i="1" s="1"/>
  <c r="O584" i="1" a="1"/>
  <c r="O584" i="1" s="1"/>
  <c r="O585" i="1" a="1"/>
  <c r="O585" i="1" s="1"/>
  <c r="O586" i="1" a="1"/>
  <c r="O586" i="1" s="1"/>
  <c r="O587" i="1" a="1"/>
  <c r="O587" i="1" s="1"/>
  <c r="O588" i="1" a="1"/>
  <c r="O588" i="1" s="1"/>
  <c r="O589" i="1" a="1"/>
  <c r="O589" i="1" s="1"/>
  <c r="O590" i="1" a="1"/>
  <c r="O590" i="1" s="1"/>
  <c r="O591" i="1" a="1"/>
  <c r="O591" i="1" s="1"/>
  <c r="O592" i="1" a="1"/>
  <c r="O592" i="1" s="1"/>
  <c r="O593" i="1" a="1"/>
  <c r="O593" i="1" s="1"/>
  <c r="O594" i="1" a="1"/>
  <c r="O594" i="1" s="1"/>
  <c r="O595" i="1" a="1"/>
  <c r="O595" i="1" s="1"/>
  <c r="O596" i="1" a="1"/>
  <c r="O596" i="1" s="1"/>
  <c r="O597" i="1" a="1"/>
  <c r="O597" i="1"/>
  <c r="O598" i="1" a="1"/>
  <c r="O598" i="1" s="1"/>
  <c r="O599" i="1" a="1"/>
  <c r="O599" i="1" s="1"/>
  <c r="O600" i="1" a="1"/>
  <c r="O600" i="1"/>
  <c r="O601" i="1" a="1"/>
  <c r="O601" i="1" s="1"/>
  <c r="O602" i="1" a="1"/>
  <c r="O602" i="1"/>
  <c r="O603" i="1" a="1"/>
  <c r="O603" i="1" s="1"/>
  <c r="O604" i="1" a="1"/>
  <c r="O604" i="1"/>
  <c r="O605" i="1" a="1"/>
  <c r="O605" i="1" s="1"/>
  <c r="O606" i="1" a="1"/>
  <c r="O606" i="1" s="1"/>
  <c r="O607" i="1" a="1"/>
  <c r="O607" i="1" s="1"/>
  <c r="O608" i="1" a="1"/>
  <c r="O608" i="1" s="1"/>
  <c r="O609" i="1" a="1"/>
  <c r="O609" i="1"/>
  <c r="O610" i="1" a="1"/>
  <c r="O610" i="1" s="1"/>
  <c r="O611" i="1" a="1"/>
  <c r="O611" i="1" s="1"/>
  <c r="O612" i="1" a="1"/>
  <c r="O612" i="1" s="1"/>
  <c r="O613" i="1" a="1"/>
  <c r="O613" i="1" s="1"/>
  <c r="O614" i="1" a="1"/>
  <c r="O614" i="1" s="1"/>
  <c r="O615" i="1" a="1"/>
  <c r="O615" i="1" s="1"/>
  <c r="O616" i="1" a="1"/>
  <c r="O616" i="1"/>
  <c r="O617" i="1" a="1"/>
  <c r="O617" i="1" s="1"/>
  <c r="O618" i="1" a="1"/>
  <c r="O618" i="1" s="1"/>
  <c r="O619" i="1" a="1"/>
  <c r="O619" i="1" s="1"/>
  <c r="O620" i="1" a="1"/>
  <c r="O620" i="1"/>
  <c r="O621" i="1" a="1"/>
  <c r="O621" i="1"/>
  <c r="O622" i="1" a="1"/>
  <c r="O622" i="1" s="1"/>
  <c r="O623" i="1" a="1"/>
  <c r="O623" i="1" s="1"/>
  <c r="O624" i="1" a="1"/>
  <c r="O624" i="1" s="1"/>
  <c r="O625" i="1" a="1"/>
  <c r="O625" i="1"/>
  <c r="O626" i="1" a="1"/>
  <c r="O626" i="1"/>
  <c r="O627" i="1" a="1"/>
  <c r="O627" i="1" s="1"/>
  <c r="O628" i="1" a="1"/>
  <c r="O628" i="1" s="1"/>
  <c r="O629" i="1" a="1"/>
  <c r="O629" i="1" s="1"/>
  <c r="O630" i="1" a="1"/>
  <c r="O630" i="1"/>
  <c r="O631" i="1" a="1"/>
  <c r="O631" i="1" s="1"/>
  <c r="O632" i="1" a="1"/>
  <c r="O632" i="1" s="1"/>
  <c r="O633" i="1" a="1"/>
  <c r="O633" i="1"/>
  <c r="O634" i="1" a="1"/>
  <c r="O634" i="1"/>
  <c r="O635" i="1" a="1"/>
  <c r="O635" i="1" s="1"/>
  <c r="O636" i="1" a="1"/>
  <c r="O636" i="1"/>
  <c r="O637" i="1" a="1"/>
  <c r="O637" i="1" s="1"/>
  <c r="O638" i="1" a="1"/>
  <c r="O638" i="1"/>
  <c r="O639" i="1" a="1"/>
  <c r="O639" i="1" s="1"/>
  <c r="O640" i="1" a="1"/>
  <c r="O640" i="1" s="1"/>
  <c r="O641" i="1" a="1"/>
  <c r="O641" i="1" s="1"/>
  <c r="O642" i="1" a="1"/>
  <c r="O642" i="1" s="1"/>
  <c r="O643" i="1" a="1"/>
  <c r="O643" i="1"/>
  <c r="O644" i="1" a="1"/>
  <c r="O644" i="1" s="1"/>
  <c r="O645" i="1" a="1"/>
  <c r="O645" i="1" s="1"/>
  <c r="O646" i="1" a="1"/>
  <c r="O646" i="1"/>
  <c r="O647" i="1" a="1"/>
  <c r="O647" i="1" s="1"/>
  <c r="O648" i="1" a="1"/>
  <c r="O648" i="1" s="1"/>
  <c r="O649" i="1" a="1"/>
  <c r="O649" i="1"/>
  <c r="O650" i="1" a="1"/>
  <c r="O650" i="1" s="1"/>
  <c r="O651" i="1" a="1"/>
  <c r="O651" i="1"/>
  <c r="O652" i="1" a="1"/>
  <c r="O652" i="1"/>
  <c r="O653" i="1" a="1"/>
  <c r="O653" i="1" s="1"/>
  <c r="O654" i="1" a="1"/>
  <c r="O654" i="1"/>
  <c r="O655" i="1" a="1"/>
  <c r="O655" i="1" s="1"/>
  <c r="O656" i="1" a="1"/>
  <c r="O656" i="1"/>
  <c r="O657" i="1" a="1"/>
  <c r="O657" i="1" s="1"/>
  <c r="O658" i="1" a="1"/>
  <c r="O658" i="1"/>
  <c r="O659" i="1" a="1"/>
  <c r="O659" i="1" s="1"/>
  <c r="O660" i="1" a="1"/>
  <c r="O660" i="1" s="1"/>
  <c r="O661" i="1" a="1"/>
  <c r="O661" i="1" s="1"/>
  <c r="O662" i="1" a="1"/>
  <c r="O662" i="1"/>
  <c r="O663" i="1" a="1"/>
  <c r="O663" i="1" s="1"/>
  <c r="O664" i="1" a="1"/>
  <c r="O664" i="1"/>
  <c r="O665" i="1" a="1"/>
  <c r="O665" i="1" s="1"/>
  <c r="O666" i="1" a="1"/>
  <c r="O666" i="1" s="1"/>
  <c r="O667" i="1" a="1"/>
  <c r="O667" i="1"/>
  <c r="O668" i="1" a="1"/>
  <c r="O668" i="1" s="1"/>
  <c r="O669" i="1" a="1"/>
  <c r="O669" i="1"/>
  <c r="O670" i="1" a="1"/>
  <c r="O670" i="1" s="1"/>
  <c r="O671" i="1" a="1"/>
  <c r="O671" i="1" s="1"/>
  <c r="O672" i="1" a="1"/>
  <c r="O672" i="1" s="1"/>
  <c r="O673" i="1" a="1"/>
  <c r="O673" i="1" s="1"/>
  <c r="O674" i="1" a="1"/>
  <c r="O674" i="1" s="1"/>
  <c r="O675" i="1" a="1"/>
  <c r="O675" i="1"/>
  <c r="O676" i="1" a="1"/>
  <c r="O676" i="1" s="1"/>
  <c r="O677" i="1" a="1"/>
  <c r="O677" i="1" s="1"/>
  <c r="O678" i="1" a="1"/>
  <c r="O678" i="1" s="1"/>
  <c r="O679" i="1" a="1"/>
  <c r="O679" i="1"/>
  <c r="O680" i="1" a="1"/>
  <c r="O680" i="1"/>
  <c r="O681" i="1" a="1"/>
  <c r="O681" i="1" s="1"/>
  <c r="O682" i="1" a="1"/>
  <c r="O682" i="1"/>
  <c r="O683" i="1" a="1"/>
  <c r="O683" i="1" s="1"/>
  <c r="O684" i="1" a="1"/>
  <c r="O684" i="1"/>
  <c r="O685" i="1" a="1"/>
  <c r="O685" i="1" s="1"/>
  <c r="O686" i="1" a="1"/>
  <c r="O686" i="1" s="1"/>
  <c r="O687" i="1" a="1"/>
  <c r="O687" i="1" s="1"/>
  <c r="O688" i="1" a="1"/>
  <c r="O688" i="1"/>
  <c r="O689" i="1" a="1"/>
  <c r="O689" i="1" s="1"/>
  <c r="O690" i="1" a="1"/>
  <c r="O690" i="1" s="1"/>
  <c r="O691" i="1" a="1"/>
  <c r="O691" i="1"/>
  <c r="O692" i="1" a="1"/>
  <c r="O692" i="1"/>
  <c r="O693" i="1" a="1"/>
  <c r="O693" i="1"/>
  <c r="O694" i="1" a="1"/>
  <c r="O694" i="1" s="1"/>
  <c r="O695" i="1" a="1"/>
  <c r="O695" i="1" s="1"/>
  <c r="O696" i="1" a="1"/>
  <c r="O696" i="1" s="1"/>
  <c r="O697" i="1" a="1"/>
  <c r="O697" i="1"/>
  <c r="O698" i="1" a="1"/>
  <c r="O698" i="1"/>
  <c r="O699" i="1" a="1"/>
  <c r="O699" i="1" s="1"/>
  <c r="O700" i="1" a="1"/>
  <c r="O700" i="1" s="1"/>
  <c r="O701" i="1" a="1"/>
  <c r="O701" i="1" s="1"/>
  <c r="O702" i="1" a="1"/>
  <c r="O702" i="1"/>
  <c r="O703" i="1" a="1"/>
  <c r="O703" i="1" s="1"/>
  <c r="O704" i="1" a="1"/>
  <c r="O704" i="1" s="1"/>
  <c r="O705" i="1" a="1"/>
  <c r="O705" i="1"/>
  <c r="O706" i="1" a="1"/>
  <c r="O706" i="1"/>
  <c r="O707" i="1" a="1"/>
  <c r="O707" i="1" s="1"/>
  <c r="O708" i="1" a="1"/>
  <c r="O708" i="1"/>
  <c r="O709" i="1" a="1"/>
  <c r="O709" i="1" s="1"/>
  <c r="O710" i="1" a="1"/>
  <c r="O710" i="1"/>
  <c r="O711" i="1" a="1"/>
  <c r="O711" i="1" s="1"/>
  <c r="O712" i="1" a="1"/>
  <c r="O712" i="1" s="1"/>
  <c r="O713" i="1" a="1"/>
  <c r="O713" i="1" s="1"/>
  <c r="O714" i="1" a="1"/>
  <c r="O714" i="1" s="1"/>
  <c r="O715" i="1" a="1"/>
  <c r="O715" i="1"/>
  <c r="O716" i="1" a="1"/>
  <c r="O716" i="1" s="1"/>
  <c r="O717" i="1" a="1"/>
  <c r="O717" i="1"/>
  <c r="O718" i="1" a="1"/>
  <c r="O718" i="1" s="1"/>
  <c r="O719" i="1" a="1"/>
  <c r="O719" i="1" s="1"/>
  <c r="O720" i="1" a="1"/>
  <c r="O720" i="1" s="1"/>
  <c r="O721" i="1" a="1"/>
  <c r="O721" i="1"/>
  <c r="O722" i="1" a="1"/>
  <c r="O722" i="1" s="1"/>
  <c r="O723" i="1" a="1"/>
  <c r="O723" i="1"/>
  <c r="O724" i="1" a="1"/>
  <c r="O724" i="1"/>
  <c r="O725" i="1" a="1"/>
  <c r="O725" i="1" s="1"/>
  <c r="O726" i="1" a="1"/>
  <c r="O726" i="1"/>
  <c r="O727" i="1" a="1"/>
  <c r="O727" i="1" s="1"/>
  <c r="O728" i="1" a="1"/>
  <c r="O728" i="1"/>
  <c r="O729" i="1" a="1"/>
  <c r="O729" i="1" s="1"/>
  <c r="O730" i="1" a="1"/>
  <c r="O730" i="1" s="1"/>
  <c r="O731" i="1" a="1"/>
  <c r="O731" i="1" s="1"/>
  <c r="O732" i="1" a="1"/>
  <c r="O732" i="1" s="1"/>
  <c r="O733" i="1" a="1"/>
  <c r="O733" i="1" s="1"/>
  <c r="O734" i="1" a="1"/>
  <c r="O734" i="1"/>
  <c r="O735" i="1" a="1"/>
  <c r="O735" i="1" s="1"/>
  <c r="O736" i="1" a="1"/>
  <c r="O736" i="1"/>
  <c r="O737" i="1" a="1"/>
  <c r="O737" i="1" s="1"/>
  <c r="O738" i="1" a="1"/>
  <c r="O738" i="1" s="1"/>
  <c r="O739" i="1" a="1"/>
  <c r="O739" i="1"/>
  <c r="O740" i="1" a="1"/>
  <c r="O740" i="1" s="1"/>
  <c r="O741" i="1" a="1"/>
  <c r="O741" i="1"/>
  <c r="O742" i="1" a="1"/>
  <c r="O742" i="1" s="1"/>
  <c r="O743" i="1" a="1"/>
  <c r="O743" i="1" s="1"/>
  <c r="O744" i="1" a="1"/>
  <c r="O744" i="1" s="1"/>
  <c r="O745" i="1" a="1"/>
  <c r="O745" i="1" s="1"/>
  <c r="O746" i="1" a="1"/>
  <c r="O746" i="1" s="1"/>
  <c r="O747" i="1" a="1"/>
  <c r="O747" i="1"/>
  <c r="O748" i="1" a="1"/>
  <c r="O748" i="1" s="1"/>
  <c r="O749" i="1" a="1"/>
  <c r="O749" i="1" s="1"/>
  <c r="O750" i="1" a="1"/>
  <c r="O750" i="1"/>
  <c r="O751" i="1" a="1"/>
  <c r="O751" i="1"/>
  <c r="O752" i="1" a="1"/>
  <c r="O752" i="1"/>
  <c r="O753" i="1" a="1"/>
  <c r="O753" i="1" s="1"/>
  <c r="O754" i="1" a="1"/>
  <c r="O754" i="1"/>
  <c r="O755" i="1" a="1"/>
  <c r="O755" i="1" s="1"/>
  <c r="O756" i="1" a="1"/>
  <c r="O756" i="1"/>
  <c r="O757" i="1" a="1"/>
  <c r="O757" i="1"/>
  <c r="O758" i="1" a="1"/>
  <c r="O758" i="1" s="1"/>
  <c r="O759" i="1" a="1"/>
  <c r="O759" i="1" s="1"/>
  <c r="O760" i="1" a="1"/>
  <c r="O760" i="1"/>
  <c r="O761" i="1" a="1"/>
  <c r="O761" i="1" s="1"/>
  <c r="O762" i="1" a="1"/>
  <c r="O762" i="1" s="1"/>
  <c r="O763" i="1" a="1"/>
  <c r="O763" i="1" s="1"/>
  <c r="O764" i="1" a="1"/>
  <c r="O764" i="1" s="1"/>
  <c r="O765" i="1" a="1"/>
  <c r="O765" i="1"/>
  <c r="O766" i="1" a="1"/>
  <c r="O766" i="1" s="1"/>
  <c r="O767" i="1" a="1"/>
  <c r="O767" i="1" s="1"/>
  <c r="O768" i="1" a="1"/>
  <c r="O768" i="1" s="1"/>
  <c r="O769" i="1" a="1"/>
  <c r="O769" i="1"/>
  <c r="O770" i="1" a="1"/>
  <c r="O770" i="1"/>
  <c r="O771" i="1" a="1"/>
  <c r="O771" i="1" s="1"/>
  <c r="O772" i="1" a="1"/>
  <c r="O772" i="1" s="1"/>
  <c r="O773" i="1" a="1"/>
  <c r="O773" i="1"/>
  <c r="O774" i="1" a="1"/>
  <c r="O774" i="1" s="1"/>
  <c r="O775" i="1" a="1"/>
  <c r="O775" i="1"/>
  <c r="O776" i="1" a="1"/>
  <c r="O776" i="1" s="1"/>
  <c r="O777" i="1" a="1"/>
  <c r="O777" i="1" s="1"/>
  <c r="O778" i="1" a="1"/>
  <c r="O778" i="1" s="1"/>
  <c r="O779" i="1" a="1"/>
  <c r="O779" i="1"/>
  <c r="O780" i="1" a="1"/>
  <c r="O780" i="1" s="1"/>
  <c r="O781" i="1" a="1"/>
  <c r="O781" i="1"/>
  <c r="O782" i="1" a="1"/>
  <c r="O782" i="1" s="1"/>
  <c r="O783" i="1" a="1"/>
  <c r="O783" i="1" s="1"/>
  <c r="O784" i="1" a="1"/>
  <c r="O784" i="1" s="1"/>
  <c r="O785" i="1" a="1"/>
  <c r="O785" i="1"/>
  <c r="O786" i="1" a="1"/>
  <c r="O786" i="1" s="1"/>
  <c r="O787" i="1" a="1"/>
  <c r="O787" i="1"/>
  <c r="O788" i="1" a="1"/>
  <c r="O788" i="1" s="1"/>
  <c r="O789" i="1" a="1"/>
  <c r="O789" i="1" s="1"/>
  <c r="O790" i="1" a="1"/>
  <c r="O790" i="1" s="1"/>
  <c r="O791" i="1" a="1"/>
  <c r="O791" i="1"/>
  <c r="O792" i="1" a="1"/>
  <c r="O792" i="1" s="1"/>
  <c r="O793" i="1" a="1"/>
  <c r="O793" i="1"/>
  <c r="O794" i="1" a="1"/>
  <c r="O794" i="1" s="1"/>
  <c r="O795" i="1" a="1"/>
  <c r="O795" i="1" s="1"/>
  <c r="O796" i="1" a="1"/>
  <c r="O796" i="1" s="1"/>
  <c r="O797" i="1" a="1"/>
  <c r="O797" i="1"/>
  <c r="O798" i="1" a="1"/>
  <c r="O798" i="1" s="1"/>
  <c r="O799" i="1" a="1"/>
  <c r="O799" i="1"/>
  <c r="O800" i="1" a="1"/>
  <c r="O800" i="1" s="1"/>
  <c r="O801" i="1" a="1"/>
  <c r="O801" i="1" s="1"/>
  <c r="O802" i="1" a="1"/>
  <c r="O802" i="1" s="1"/>
  <c r="O803" i="1" a="1"/>
  <c r="O803" i="1"/>
  <c r="O804" i="1" a="1"/>
  <c r="O804" i="1" s="1"/>
  <c r="O805" i="1" a="1"/>
  <c r="O805" i="1"/>
  <c r="O806" i="1" a="1"/>
  <c r="O806" i="1" s="1"/>
  <c r="O807" i="1" a="1"/>
  <c r="O807" i="1" s="1"/>
  <c r="O808" i="1" a="1"/>
  <c r="O808" i="1" s="1"/>
  <c r="O809" i="1" a="1"/>
  <c r="O809" i="1"/>
  <c r="O810" i="1" a="1"/>
  <c r="O810" i="1" s="1"/>
  <c r="O811" i="1" a="1"/>
  <c r="O811" i="1"/>
  <c r="O812" i="1" a="1"/>
  <c r="O812" i="1" s="1"/>
  <c r="O813" i="1" a="1"/>
  <c r="O813" i="1" s="1"/>
  <c r="O814" i="1" a="1"/>
  <c r="O814" i="1" s="1"/>
  <c r="O815" i="1" a="1"/>
  <c r="O815" i="1"/>
  <c r="O816" i="1" a="1"/>
  <c r="O816" i="1" s="1"/>
  <c r="O817" i="1" a="1"/>
  <c r="O817" i="1"/>
  <c r="O818" i="1" a="1"/>
  <c r="O818" i="1"/>
  <c r="O819" i="1" a="1"/>
  <c r="O819" i="1" s="1"/>
  <c r="O820" i="1" a="1"/>
  <c r="O820" i="1" s="1"/>
  <c r="O821" i="1" a="1"/>
  <c r="O821" i="1"/>
  <c r="O822" i="1" a="1"/>
  <c r="O822" i="1" s="1"/>
  <c r="O823" i="1" a="1"/>
  <c r="O823" i="1"/>
  <c r="O824" i="1" a="1"/>
  <c r="O824" i="1" s="1"/>
  <c r="O825" i="1" a="1"/>
  <c r="O825" i="1" s="1"/>
  <c r="O826" i="1" a="1"/>
  <c r="O826" i="1"/>
  <c r="O827" i="1" a="1"/>
  <c r="O827" i="1" s="1"/>
  <c r="O828" i="1" a="1"/>
  <c r="O828" i="1" s="1"/>
  <c r="O829" i="1" a="1"/>
  <c r="O829" i="1" s="1"/>
  <c r="O830" i="1" a="1"/>
  <c r="O830" i="1"/>
  <c r="O831" i="1" a="1"/>
  <c r="O831" i="1" s="1"/>
  <c r="O832" i="1" a="1"/>
  <c r="O832" i="1"/>
  <c r="O833" i="1" a="1"/>
  <c r="O833" i="1" s="1"/>
  <c r="O834" i="1" a="1"/>
  <c r="O834" i="1" s="1"/>
  <c r="O835" i="1" a="1"/>
  <c r="O835" i="1"/>
  <c r="O836" i="1" a="1"/>
  <c r="O836" i="1" s="1"/>
  <c r="O837" i="1" a="1"/>
  <c r="O837" i="1" s="1"/>
  <c r="O838" i="1" a="1"/>
  <c r="O838" i="1" s="1"/>
  <c r="O839" i="1" a="1"/>
  <c r="O839" i="1"/>
  <c r="O840" i="1" a="1"/>
  <c r="O840" i="1" s="1"/>
  <c r="O841" i="1" a="1"/>
  <c r="O841" i="1" s="1"/>
  <c r="O842" i="1" a="1"/>
  <c r="O842" i="1"/>
  <c r="O843" i="1" a="1"/>
  <c r="O843" i="1" s="1"/>
  <c r="O844" i="1" a="1"/>
  <c r="O844" i="1"/>
  <c r="O845" i="1" a="1"/>
  <c r="O845" i="1" s="1"/>
  <c r="O846" i="1" a="1"/>
  <c r="O846" i="1" s="1"/>
  <c r="O847" i="1" a="1"/>
  <c r="O847" i="1" s="1"/>
  <c r="O848" i="1" a="1"/>
  <c r="O848" i="1"/>
  <c r="O849" i="1" a="1"/>
  <c r="O849" i="1" s="1"/>
  <c r="O850" i="1" a="1"/>
  <c r="O850" i="1"/>
  <c r="O851" i="1" a="1"/>
  <c r="O851" i="1"/>
  <c r="O852" i="1" a="1"/>
  <c r="O852" i="1" s="1"/>
  <c r="O853" i="1" a="1"/>
  <c r="O853" i="1" s="1"/>
  <c r="O854" i="1" a="1"/>
  <c r="O854" i="1"/>
  <c r="O855" i="1" a="1"/>
  <c r="O855" i="1" s="1"/>
  <c r="O856" i="1" a="1"/>
  <c r="O856" i="1" s="1"/>
  <c r="O857" i="1" a="1"/>
  <c r="O857" i="1"/>
  <c r="O858" i="1" a="1"/>
  <c r="O858" i="1" s="1"/>
  <c r="O859" i="1" a="1"/>
  <c r="O859" i="1"/>
  <c r="O860" i="1" a="1"/>
  <c r="O860" i="1" s="1"/>
  <c r="O861" i="1" a="1"/>
  <c r="O861" i="1" s="1"/>
  <c r="O862" i="1" a="1"/>
  <c r="O862" i="1" s="1"/>
  <c r="O863" i="1" a="1"/>
  <c r="O863" i="1" s="1"/>
  <c r="O864" i="1" a="1"/>
  <c r="O864" i="1" s="1"/>
  <c r="O865" i="1" a="1"/>
  <c r="O865" i="1" s="1"/>
  <c r="O866" i="1" a="1"/>
  <c r="O866" i="1"/>
  <c r="O867" i="1" a="1"/>
  <c r="O867" i="1" s="1"/>
  <c r="O868" i="1" a="1"/>
  <c r="O868" i="1"/>
  <c r="O869" i="1" a="1"/>
  <c r="O869" i="1"/>
  <c r="O870" i="1" a="1"/>
  <c r="O870" i="1" s="1"/>
  <c r="O871" i="1" a="1"/>
  <c r="O871" i="1"/>
  <c r="O872" i="1" a="1"/>
  <c r="O872" i="1" s="1"/>
  <c r="O873" i="1" a="1"/>
  <c r="O873" i="1" s="1"/>
  <c r="O874" i="1" a="1"/>
  <c r="O874" i="1" s="1"/>
  <c r="O875" i="1" a="1"/>
  <c r="O875" i="1"/>
  <c r="O876" i="1" a="1"/>
  <c r="O876" i="1" s="1"/>
  <c r="O877" i="1" a="1"/>
  <c r="O877" i="1"/>
  <c r="O878" i="1" a="1"/>
  <c r="O878" i="1"/>
  <c r="O879" i="1" a="1"/>
  <c r="O879" i="1" s="1"/>
  <c r="O880" i="1" a="1"/>
  <c r="O880" i="1"/>
  <c r="O881" i="1" a="1"/>
  <c r="O881" i="1" s="1"/>
  <c r="O882" i="1" a="1"/>
  <c r="O882" i="1" s="1"/>
  <c r="O883" i="1" a="1"/>
  <c r="O883" i="1" s="1"/>
  <c r="O884" i="1" a="1"/>
  <c r="O884" i="1"/>
  <c r="O885" i="1" a="1"/>
  <c r="O885" i="1" s="1"/>
  <c r="O886" i="1" a="1"/>
  <c r="O886" i="1"/>
  <c r="O887" i="1" a="1"/>
  <c r="O887" i="1"/>
  <c r="O888" i="1" a="1"/>
  <c r="O888" i="1" s="1"/>
  <c r="O889" i="1" a="1"/>
  <c r="O889" i="1" s="1"/>
  <c r="O890" i="1" a="1"/>
  <c r="O890" i="1" s="1"/>
  <c r="O891" i="1" a="1"/>
  <c r="O891" i="1" s="1"/>
  <c r="O892" i="1" a="1"/>
  <c r="O892" i="1" s="1"/>
  <c r="O893" i="1" a="1"/>
  <c r="O893" i="1"/>
  <c r="O894" i="1" a="1"/>
  <c r="O894" i="1" s="1"/>
  <c r="O895" i="1" a="1"/>
  <c r="O895" i="1"/>
  <c r="O896" i="1" a="1"/>
  <c r="O896" i="1" s="1"/>
  <c r="O897" i="1" a="1"/>
  <c r="O897" i="1" s="1"/>
  <c r="O898" i="1" a="1"/>
  <c r="O898" i="1"/>
  <c r="O899" i="1" a="1"/>
  <c r="O899" i="1" s="1"/>
  <c r="O900" i="1" a="1"/>
  <c r="O900" i="1" s="1"/>
  <c r="O901" i="1" a="1"/>
  <c r="O901" i="1" s="1"/>
  <c r="O902" i="1" a="1"/>
  <c r="O902" i="1"/>
  <c r="O903" i="1" a="1"/>
  <c r="O903" i="1" s="1"/>
  <c r="O904" i="1" a="1"/>
  <c r="O904" i="1"/>
  <c r="O905" i="1" a="1"/>
  <c r="O905" i="1" s="1"/>
  <c r="O906" i="1" a="1"/>
  <c r="O906" i="1" s="1"/>
  <c r="O907" i="1" a="1"/>
  <c r="O907" i="1"/>
  <c r="O908" i="1" a="1"/>
  <c r="O908" i="1" s="1"/>
  <c r="O909" i="1" a="1"/>
  <c r="O909" i="1" s="1"/>
  <c r="O910" i="1" a="1"/>
  <c r="O910" i="1" s="1"/>
  <c r="O911" i="1" a="1"/>
  <c r="O911" i="1"/>
  <c r="O912" i="1" a="1"/>
  <c r="O912" i="1" s="1"/>
  <c r="O913" i="1" a="1"/>
  <c r="O913" i="1"/>
  <c r="O914" i="1" a="1"/>
  <c r="O914" i="1"/>
  <c r="O915" i="1" a="1"/>
  <c r="O915" i="1" s="1"/>
  <c r="O916" i="1" a="1"/>
  <c r="O916" i="1"/>
  <c r="O917" i="1" a="1"/>
  <c r="O917" i="1" s="1"/>
  <c r="O918" i="1" a="1"/>
  <c r="O918" i="1" s="1"/>
  <c r="O919" i="1" a="1"/>
  <c r="O919" i="1"/>
  <c r="O920" i="1" a="1"/>
  <c r="O920" i="1" s="1"/>
  <c r="O921" i="1" a="1"/>
  <c r="O921" i="1" s="1"/>
  <c r="O922" i="1" a="1"/>
  <c r="O922" i="1"/>
  <c r="O923" i="1" a="1"/>
  <c r="O923" i="1"/>
  <c r="O924" i="1" a="1"/>
  <c r="O924" i="1" s="1"/>
  <c r="O925" i="1" a="1"/>
  <c r="O925" i="1" s="1"/>
  <c r="O926" i="1" a="1"/>
  <c r="O926" i="1"/>
  <c r="O927" i="1" a="1"/>
  <c r="O927" i="1" s="1"/>
  <c r="O928" i="1" a="1"/>
  <c r="O928" i="1" s="1"/>
  <c r="O929" i="1" a="1"/>
  <c r="O929" i="1"/>
  <c r="O930" i="1" a="1"/>
  <c r="O930" i="1" s="1"/>
  <c r="O931" i="1" a="1"/>
  <c r="O931" i="1"/>
  <c r="O932" i="1" a="1"/>
  <c r="O932" i="1" s="1"/>
  <c r="O933" i="1" a="1"/>
  <c r="O933" i="1" s="1"/>
  <c r="O934" i="1" a="1"/>
  <c r="O934" i="1"/>
  <c r="O935" i="1" a="1"/>
  <c r="O935" i="1" s="1"/>
  <c r="O936" i="1" a="1"/>
  <c r="O936" i="1" s="1"/>
  <c r="O937" i="1" a="1"/>
  <c r="O937" i="1" s="1"/>
  <c r="O938" i="1" a="1"/>
  <c r="O938" i="1"/>
  <c r="O939" i="1" a="1"/>
  <c r="O939" i="1" s="1"/>
  <c r="O940" i="1" a="1"/>
  <c r="O940" i="1"/>
  <c r="O941" i="1" a="1"/>
  <c r="O941" i="1" s="1"/>
  <c r="O942" i="1" a="1"/>
  <c r="O942" i="1" s="1"/>
  <c r="O943" i="1" a="1"/>
  <c r="O943" i="1"/>
  <c r="O944" i="1" a="1"/>
  <c r="O944" i="1" s="1"/>
  <c r="O945" i="1" a="1"/>
  <c r="O945" i="1" s="1"/>
  <c r="O946" i="1" a="1"/>
  <c r="O946" i="1" s="1"/>
  <c r="O947" i="1" a="1"/>
  <c r="O947" i="1"/>
  <c r="O948" i="1" a="1"/>
  <c r="O948" i="1" s="1"/>
  <c r="O949" i="1" a="1"/>
  <c r="O949" i="1" s="1"/>
  <c r="O950" i="1" a="1"/>
  <c r="O950" i="1"/>
  <c r="O951" i="1" a="1"/>
  <c r="O951" i="1" s="1"/>
  <c r="O952" i="1" a="1"/>
  <c r="O952" i="1"/>
  <c r="O953" i="1" a="1"/>
  <c r="O953" i="1" s="1"/>
  <c r="O954" i="1" a="1"/>
  <c r="O954" i="1" s="1"/>
  <c r="O955" i="1" a="1"/>
  <c r="O955" i="1" s="1"/>
  <c r="O956" i="1" a="1"/>
  <c r="O956" i="1"/>
  <c r="O957" i="1" a="1"/>
  <c r="O957" i="1" s="1"/>
  <c r="O958" i="1" a="1"/>
  <c r="O958" i="1"/>
  <c r="O959" i="1" a="1"/>
  <c r="O959" i="1" s="1"/>
  <c r="O960" i="1" a="1"/>
  <c r="O960" i="1" s="1"/>
  <c r="O961" i="1" a="1"/>
  <c r="O961" i="1" s="1"/>
  <c r="O962" i="1" a="1"/>
  <c r="O962" i="1" s="1"/>
  <c r="O963" i="1" a="1"/>
  <c r="O963" i="1" s="1"/>
  <c r="O964" i="1" a="1"/>
  <c r="O964" i="1" s="1"/>
  <c r="O965" i="1" a="1"/>
  <c r="O965" i="1"/>
  <c r="O966" i="1" a="1"/>
  <c r="O966" i="1" s="1"/>
  <c r="O967" i="1" a="1"/>
  <c r="O967" i="1"/>
  <c r="O968" i="1" a="1"/>
  <c r="O968" i="1" s="1"/>
  <c r="O969" i="1" a="1"/>
  <c r="O969" i="1" s="1"/>
  <c r="O970" i="1" a="1"/>
  <c r="O970" i="1"/>
  <c r="O971" i="1" a="1"/>
  <c r="O971" i="1" s="1"/>
  <c r="O972" i="1" a="1"/>
  <c r="O972" i="1" s="1"/>
  <c r="O973" i="1" a="1"/>
  <c r="O973" i="1" s="1"/>
  <c r="O974" i="1" a="1"/>
  <c r="O974" i="1"/>
  <c r="O975" i="1" a="1"/>
  <c r="O975" i="1" s="1"/>
  <c r="O976" i="1" a="1"/>
  <c r="O976" i="1"/>
  <c r="O977" i="1" a="1"/>
  <c r="O977" i="1"/>
  <c r="O978" i="1" a="1"/>
  <c r="O978" i="1" s="1"/>
  <c r="O979" i="1" a="1"/>
  <c r="O979" i="1"/>
  <c r="O980" i="1" a="1"/>
  <c r="O980" i="1" s="1"/>
  <c r="O981" i="1" a="1"/>
  <c r="O981" i="1" s="1"/>
  <c r="O982" i="1" a="1"/>
  <c r="O982" i="1" s="1"/>
  <c r="O983" i="1" a="1"/>
  <c r="O983" i="1"/>
  <c r="O984" i="1" a="1"/>
  <c r="O984" i="1" s="1"/>
  <c r="O985" i="1" a="1"/>
  <c r="O985" i="1"/>
  <c r="O986" i="1" a="1"/>
  <c r="O986" i="1"/>
  <c r="O987" i="1" a="1"/>
  <c r="O987" i="1" s="1"/>
  <c r="O988" i="1" a="1"/>
  <c r="O988" i="1"/>
  <c r="O989" i="1" a="1"/>
  <c r="O989" i="1" s="1"/>
  <c r="O990" i="1" a="1"/>
  <c r="O990" i="1" s="1"/>
  <c r="O991" i="1" a="1"/>
  <c r="O991" i="1" s="1"/>
  <c r="O992" i="1" a="1"/>
  <c r="O992" i="1"/>
  <c r="O993" i="1" a="1"/>
  <c r="O993" i="1" s="1"/>
  <c r="O994" i="1" a="1"/>
  <c r="O994" i="1"/>
  <c r="O995" i="1" a="1"/>
  <c r="O995" i="1" s="1"/>
  <c r="O996" i="1" a="1"/>
  <c r="O996" i="1" s="1"/>
  <c r="O997" i="1" a="1"/>
  <c r="O997" i="1" s="1"/>
  <c r="O998" i="1" a="1"/>
  <c r="O998" i="1"/>
  <c r="O999" i="1" a="1"/>
  <c r="O999" i="1" s="1"/>
  <c r="O1000" i="1" a="1"/>
  <c r="O1000" i="1" s="1"/>
  <c r="O1001" i="1" a="1"/>
  <c r="O1001" i="1"/>
  <c r="O1002" i="1" a="1"/>
  <c r="O1002" i="1" s="1"/>
  <c r="O1003" i="1" a="1"/>
  <c r="O1003" i="1"/>
  <c r="O1004" i="1" a="1"/>
  <c r="O1004" i="1" s="1"/>
  <c r="O1005" i="1" a="1"/>
  <c r="O1005" i="1" s="1"/>
  <c r="O1006" i="1" a="1"/>
  <c r="O1006" i="1" s="1"/>
  <c r="O1007" i="1" a="1"/>
  <c r="O1007" i="1" s="1"/>
  <c r="O1008" i="1" a="1"/>
  <c r="O1008" i="1" s="1"/>
  <c r="O1009" i="1" a="1"/>
  <c r="O1009" i="1" s="1"/>
  <c r="O1010" i="1" a="1"/>
  <c r="O1010" i="1"/>
  <c r="O1011" i="1" a="1"/>
  <c r="O1011" i="1" s="1"/>
  <c r="O1012" i="1" a="1"/>
  <c r="O1012" i="1"/>
  <c r="O1013" i="1" a="1"/>
  <c r="O1013" i="1" s="1"/>
  <c r="O1014" i="1" a="1"/>
  <c r="O1014" i="1" s="1"/>
  <c r="O1015" i="1" a="1"/>
  <c r="O1015" i="1"/>
  <c r="O1016" i="1" a="1"/>
  <c r="O1016" i="1" s="1"/>
  <c r="O1017" i="1" a="1"/>
  <c r="O1017" i="1" s="1"/>
  <c r="O1018" i="1" a="1"/>
  <c r="O1018" i="1" s="1"/>
  <c r="O1019" i="1" a="1"/>
  <c r="O1019" i="1"/>
  <c r="O1020" i="1" a="1"/>
  <c r="O1020" i="1" s="1"/>
  <c r="O1021" i="1" a="1"/>
  <c r="O1021" i="1"/>
  <c r="O1022" i="1" a="1"/>
  <c r="O1022" i="1"/>
  <c r="O1023" i="1" a="1"/>
  <c r="O1023" i="1" s="1"/>
  <c r="O1024" i="1" a="1"/>
  <c r="O1024" i="1"/>
  <c r="O1025" i="1" a="1"/>
  <c r="O1025" i="1" s="1"/>
  <c r="O1026" i="1" a="1"/>
  <c r="O1026" i="1" s="1"/>
  <c r="O1027" i="1" a="1"/>
  <c r="O1027" i="1"/>
  <c r="O1028" i="1" a="1"/>
  <c r="O1028" i="1" s="1"/>
  <c r="O1029" i="1" a="1"/>
  <c r="O1029" i="1" s="1"/>
  <c r="O1030" i="1" a="1"/>
  <c r="O1030" i="1"/>
  <c r="O1031" i="1" a="1"/>
  <c r="O1031" i="1" s="1"/>
  <c r="O1032" i="1" a="1"/>
  <c r="O1032" i="1" s="1"/>
  <c r="O1033" i="1" a="1"/>
  <c r="O1033" i="1" s="1"/>
  <c r="O1034" i="1" a="1"/>
  <c r="O1034" i="1" s="1"/>
  <c r="O1035" i="1" a="1"/>
  <c r="O1035" i="1" s="1"/>
  <c r="O1036" i="1" a="1"/>
  <c r="O1036" i="1" s="1"/>
  <c r="O1037" i="1" a="1"/>
  <c r="O1037" i="1"/>
  <c r="O1038" i="1" a="1"/>
  <c r="O1038" i="1" s="1"/>
  <c r="O1039" i="1" a="1"/>
  <c r="O1039" i="1"/>
  <c r="O1040" i="1" a="1"/>
  <c r="O1040" i="1" s="1"/>
  <c r="O1041" i="1" a="1"/>
  <c r="O1041" i="1" s="1"/>
  <c r="O1042" i="1" a="1"/>
  <c r="O1042" i="1" s="1"/>
  <c r="O1043" i="1" a="1"/>
  <c r="O1043" i="1" s="1"/>
  <c r="O1044" i="1" a="1"/>
  <c r="O1044" i="1" s="1"/>
  <c r="O1045" i="1" a="1"/>
  <c r="O1045" i="1" s="1"/>
  <c r="O1046" i="1" a="1"/>
  <c r="O1046" i="1"/>
  <c r="O1047" i="1" a="1"/>
  <c r="O1047" i="1" s="1"/>
  <c r="O1048" i="1" a="1"/>
  <c r="O1048" i="1"/>
  <c r="O1049" i="1" a="1"/>
  <c r="O1049" i="1"/>
  <c r="O1050" i="1" a="1"/>
  <c r="O1050" i="1" s="1"/>
  <c r="O1051" i="1" a="1"/>
  <c r="O1051" i="1"/>
  <c r="O1052" i="1" a="1"/>
  <c r="O1052" i="1" s="1"/>
  <c r="O1053" i="1" a="1"/>
  <c r="O1053" i="1" s="1"/>
  <c r="O1054" i="1" a="1"/>
  <c r="O1054" i="1" s="1"/>
  <c r="O1055" i="1" a="1"/>
  <c r="O1055" i="1"/>
  <c r="O1056" i="1" a="1"/>
  <c r="O1056" i="1" s="1"/>
  <c r="O1057" i="1" a="1"/>
  <c r="O1057" i="1" s="1"/>
  <c r="O1058" i="1" a="1"/>
  <c r="O1058" i="1"/>
  <c r="O1059" i="1" a="1"/>
  <c r="O1059" i="1" s="1"/>
  <c r="O1060" i="1" a="1"/>
  <c r="O1060" i="1"/>
  <c r="O1061" i="1" a="1"/>
  <c r="O1061" i="1" s="1"/>
  <c r="O1062" i="1" a="1"/>
  <c r="O1062" i="1" s="1"/>
  <c r="O1063" i="1" a="1"/>
  <c r="O1063" i="1" s="1"/>
  <c r="O1064" i="1" a="1"/>
  <c r="O1064" i="1"/>
  <c r="O1065" i="1" a="1"/>
  <c r="O1065" i="1" s="1"/>
  <c r="O1066" i="1" a="1"/>
  <c r="O1066" i="1"/>
  <c r="O1067" i="1" a="1"/>
  <c r="O1067" i="1" s="1"/>
  <c r="O1068" i="1" a="1"/>
  <c r="O1068" i="1" s="1"/>
  <c r="O1069" i="1" a="1"/>
  <c r="O1069" i="1" s="1"/>
  <c r="O1070" i="1" a="1"/>
  <c r="O1070" i="1"/>
  <c r="O1071" i="1" a="1"/>
  <c r="O1071" i="1" s="1"/>
  <c r="O1072" i="1" a="1"/>
  <c r="O1072" i="1" s="1"/>
  <c r="O1073" i="1" a="1"/>
  <c r="O1073" i="1"/>
  <c r="O1074" i="1" a="1"/>
  <c r="O1074" i="1" s="1"/>
  <c r="O1075" i="1" a="1"/>
  <c r="O1075" i="1"/>
  <c r="O1076" i="1" a="1"/>
  <c r="O1076" i="1" s="1"/>
  <c r="O1077" i="1" a="1"/>
  <c r="O1077" i="1" s="1"/>
  <c r="O1078" i="1" a="1"/>
  <c r="O1078" i="1"/>
  <c r="O1079" i="1" a="1"/>
  <c r="O1079" i="1" s="1"/>
  <c r="O1080" i="1" a="1"/>
  <c r="O1080" i="1" s="1"/>
  <c r="O1081" i="1" a="1"/>
  <c r="O1081" i="1" s="1"/>
  <c r="O1082" i="1" a="1"/>
  <c r="O1082" i="1"/>
  <c r="O1083" i="1" a="1"/>
  <c r="O1083" i="1" s="1"/>
  <c r="O1084" i="1" a="1"/>
  <c r="O1084" i="1"/>
  <c r="O1085" i="1" a="1"/>
  <c r="O1085" i="1" s="1"/>
  <c r="O1086" i="1" a="1"/>
  <c r="O1086" i="1" s="1"/>
  <c r="O1087" i="1" a="1"/>
  <c r="O1087" i="1"/>
  <c r="O1088" i="1" a="1"/>
  <c r="O1088" i="1" s="1"/>
  <c r="O1089" i="1" a="1"/>
  <c r="O1089" i="1" s="1"/>
  <c r="O1090" i="1" a="1"/>
  <c r="O1090" i="1" s="1"/>
  <c r="O1091" i="1" a="1"/>
  <c r="O1091" i="1"/>
  <c r="O1092" i="1" a="1"/>
  <c r="O1092" i="1" s="1"/>
  <c r="O1093" i="1" a="1"/>
  <c r="O1093" i="1" s="1"/>
  <c r="O1094" i="1" a="1"/>
  <c r="O1094" i="1" s="1"/>
  <c r="O1095" i="1" a="1"/>
  <c r="O1095" i="1" s="1"/>
  <c r="O1096" i="1" a="1"/>
  <c r="O1096" i="1"/>
  <c r="O1097" i="1" a="1"/>
  <c r="O1097" i="1" s="1"/>
  <c r="O1098" i="1" a="1"/>
  <c r="O1098" i="1" s="1"/>
  <c r="O1099" i="1" a="1"/>
  <c r="O1099" i="1" s="1"/>
  <c r="O1100" i="1" a="1"/>
  <c r="O1100" i="1"/>
  <c r="O1101" i="1" a="1"/>
  <c r="O1101" i="1" s="1"/>
  <c r="O1102" i="1" a="1"/>
  <c r="O1102" i="1"/>
  <c r="O1103" i="1" a="1"/>
  <c r="O1103" i="1" s="1"/>
  <c r="O1104" i="1" a="1"/>
  <c r="O1104" i="1" s="1"/>
  <c r="O1105" i="1" a="1"/>
  <c r="O1105" i="1" s="1"/>
  <c r="O1106" i="1" a="1"/>
  <c r="O1106" i="1" s="1"/>
  <c r="O1107" i="1" a="1"/>
  <c r="O1107" i="1" s="1"/>
  <c r="O1108" i="1" a="1"/>
  <c r="O1108" i="1" s="1"/>
  <c r="O1109" i="1" a="1"/>
  <c r="O1109" i="1"/>
  <c r="O1110" i="1" a="1"/>
  <c r="O1110" i="1" s="1"/>
  <c r="O1111" i="1" a="1"/>
  <c r="O1111" i="1"/>
  <c r="O1112" i="1" a="1"/>
  <c r="O1112" i="1" s="1"/>
  <c r="O1113" i="1" a="1"/>
  <c r="O1113" i="1" s="1"/>
  <c r="O1114" i="1" a="1"/>
  <c r="O1114" i="1" s="1"/>
  <c r="O1115" i="1" a="1"/>
  <c r="O1115" i="1" s="1"/>
  <c r="O1116" i="1" a="1"/>
  <c r="O1116" i="1" s="1"/>
  <c r="O1117" i="1" a="1"/>
  <c r="O1117" i="1" s="1"/>
  <c r="O1118" i="1" a="1"/>
  <c r="O1118" i="1"/>
  <c r="O1119" i="1" a="1"/>
  <c r="O1119" i="1" s="1"/>
  <c r="O1120" i="1" a="1"/>
  <c r="O1120" i="1" s="1"/>
  <c r="O1121" i="1" a="1"/>
  <c r="O1121" i="1"/>
  <c r="O1122" i="1" a="1"/>
  <c r="O1122" i="1"/>
  <c r="O1123" i="1" a="1"/>
  <c r="O1123" i="1" s="1"/>
  <c r="O1124" i="1" a="1"/>
  <c r="O1124" i="1"/>
  <c r="O1125" i="1" a="1"/>
  <c r="O1125" i="1" s="1"/>
  <c r="O1126" i="1" a="1"/>
  <c r="O1126" i="1"/>
  <c r="O1127" i="1" a="1"/>
  <c r="O1127" i="1" s="1"/>
  <c r="O1128" i="1" a="1"/>
  <c r="O1128" i="1" s="1"/>
  <c r="O1129" i="1" a="1"/>
  <c r="O1129" i="1" s="1"/>
  <c r="O1130" i="1" a="1"/>
  <c r="O1130" i="1"/>
  <c r="O1131" i="1" a="1"/>
  <c r="O1131" i="1" s="1"/>
  <c r="O1132" i="1" a="1"/>
  <c r="O1132" i="1"/>
  <c r="O1133" i="1" a="1"/>
  <c r="O1133" i="1"/>
  <c r="O1134" i="1" a="1"/>
  <c r="O1134" i="1" s="1"/>
  <c r="O1135" i="1" a="1"/>
  <c r="O1135" i="1" s="1"/>
  <c r="O1136" i="1" a="1"/>
  <c r="O1136" i="1"/>
  <c r="O1137" i="1" a="1"/>
  <c r="O1137" i="1" s="1"/>
  <c r="O1138" i="1" a="1"/>
  <c r="O1138" i="1"/>
  <c r="O1139" i="1" a="1"/>
  <c r="O1139" i="1" s="1"/>
  <c r="O1140" i="1" a="1"/>
  <c r="O1140" i="1" s="1"/>
  <c r="O1141" i="1" a="1"/>
  <c r="O1141" i="1" s="1"/>
  <c r="O1142" i="1" a="1"/>
  <c r="O1142" i="1" s="1"/>
  <c r="O1143" i="1" a="1"/>
  <c r="O1143" i="1" s="1"/>
  <c r="O1144" i="1" a="1"/>
  <c r="O1144" i="1"/>
  <c r="O1145" i="1" a="1"/>
  <c r="O1145" i="1" s="1"/>
  <c r="O1146" i="1" a="1"/>
  <c r="O1146" i="1" s="1"/>
  <c r="O1147" i="1" a="1"/>
  <c r="O1147" i="1" s="1"/>
  <c r="O1148" i="1" a="1"/>
  <c r="O1148" i="1"/>
  <c r="O1149" i="1" a="1"/>
  <c r="O1149" i="1" s="1"/>
  <c r="O1150" i="1" a="1"/>
  <c r="O1150" i="1" s="1"/>
  <c r="O1151" i="1" a="1"/>
  <c r="O1151" i="1"/>
  <c r="O1152" i="1" a="1"/>
  <c r="O1152" i="1" s="1"/>
  <c r="O1153" i="1" a="1"/>
  <c r="O1153" i="1" s="1"/>
  <c r="O1154" i="1" a="1"/>
  <c r="O1154" i="1"/>
  <c r="O1155" i="1" a="1"/>
  <c r="O1155" i="1" s="1"/>
  <c r="O1156" i="1" a="1"/>
  <c r="O1156" i="1"/>
  <c r="O1157" i="1" a="1"/>
  <c r="O1157" i="1" s="1"/>
  <c r="O1158" i="1" a="1"/>
  <c r="O1158" i="1"/>
  <c r="O1159" i="1" a="1"/>
  <c r="O1159" i="1" s="1"/>
  <c r="O1160" i="1" a="1"/>
  <c r="O1160" i="1" s="1"/>
  <c r="O1161" i="1" a="1"/>
  <c r="O1161" i="1" s="1"/>
  <c r="O1162" i="1" a="1"/>
  <c r="O1162" i="1" s="1"/>
  <c r="O1163" i="1" a="1"/>
  <c r="O1163" i="1"/>
  <c r="O1164" i="1" a="1"/>
  <c r="O1164" i="1" s="1"/>
  <c r="O1165" i="1" a="1"/>
  <c r="O1165" i="1"/>
  <c r="O1166" i="1" a="1"/>
  <c r="O1166" i="1"/>
  <c r="O1167" i="1" a="1"/>
  <c r="O1167" i="1" s="1"/>
  <c r="O1168" i="1" a="1"/>
  <c r="O1168" i="1"/>
  <c r="O1169" i="1" a="1"/>
  <c r="O1169" i="1"/>
  <c r="O1170" i="1" a="1"/>
  <c r="O1170" i="1" s="1"/>
  <c r="O1171" i="1" a="1"/>
  <c r="O1171" i="1"/>
  <c r="O1172" i="1" a="1"/>
  <c r="O1172" i="1"/>
  <c r="O1173" i="1" a="1"/>
  <c r="O1173" i="1" s="1"/>
  <c r="O1174" i="1" a="1"/>
  <c r="O1174" i="1" s="1"/>
  <c r="O1175" i="1" a="1"/>
  <c r="O1175" i="1" s="1"/>
  <c r="O1176" i="1" a="1"/>
  <c r="O1176" i="1"/>
  <c r="O1177" i="1" a="1"/>
  <c r="O1177" i="1" s="1"/>
  <c r="O1178" i="1" a="1"/>
  <c r="O1178" i="1"/>
  <c r="O1179" i="1" a="1"/>
  <c r="O1179" i="1" s="1"/>
  <c r="O1180" i="1" a="1"/>
  <c r="O1180" i="1" s="1"/>
  <c r="O1181" i="1" a="1"/>
  <c r="O1181" i="1"/>
  <c r="O1182" i="1" a="1"/>
  <c r="O1182" i="1"/>
  <c r="O1183" i="1" a="1"/>
  <c r="O1183" i="1" s="1"/>
  <c r="O1184" i="1" a="1"/>
  <c r="O1184" i="1"/>
  <c r="O1185" i="1" a="1"/>
  <c r="O1185" i="1" s="1"/>
  <c r="O1186" i="1" a="1"/>
  <c r="O1186" i="1" s="1"/>
  <c r="O1187" i="1" a="1"/>
  <c r="O1187" i="1" s="1"/>
  <c r="O1188" i="1" a="1"/>
  <c r="O1188" i="1" s="1"/>
  <c r="O1189" i="1" a="1"/>
  <c r="O1189" i="1"/>
  <c r="O1190" i="1" a="1"/>
  <c r="O1190" i="1" s="1"/>
  <c r="O1191" i="1" a="1"/>
  <c r="O1191" i="1" s="1"/>
  <c r="O1192" i="1" a="1"/>
  <c r="O1192" i="1"/>
  <c r="O1193" i="1" a="1"/>
  <c r="O1193" i="1" s="1"/>
  <c r="O1194" i="1" a="1"/>
  <c r="O1194" i="1"/>
  <c r="O1195" i="1" a="1"/>
  <c r="O1195" i="1"/>
  <c r="O1196" i="1" a="1"/>
  <c r="O1196" i="1" s="1"/>
  <c r="O1197" i="1" a="1"/>
  <c r="O1197" i="1" s="1"/>
  <c r="O1198" i="1" a="1"/>
  <c r="O1198" i="1"/>
  <c r="O1199" i="1" a="1"/>
  <c r="O1199" i="1" s="1"/>
  <c r="O1200" i="1" a="1"/>
  <c r="O1200" i="1" s="1"/>
  <c r="O1201" i="1" a="1"/>
  <c r="O1201" i="1" s="1"/>
  <c r="O1202" i="1" a="1"/>
  <c r="O1202" i="1"/>
  <c r="O1203" i="1" a="1"/>
  <c r="O1203" i="1" s="1"/>
  <c r="O1204" i="1" a="1"/>
  <c r="O1204" i="1"/>
  <c r="O1205" i="1" a="1"/>
  <c r="O1205" i="1"/>
  <c r="O1206" i="1" a="1"/>
  <c r="O1206" i="1" s="1"/>
  <c r="O1207" i="1" a="1"/>
  <c r="O1207" i="1"/>
  <c r="O1208" i="1" a="1"/>
  <c r="O1208" i="1"/>
  <c r="O1209" i="1" a="1"/>
  <c r="O1209" i="1" s="1"/>
  <c r="O1210" i="1" a="1"/>
  <c r="O1210" i="1" s="1"/>
  <c r="O1211" i="1" a="1"/>
  <c r="O1211" i="1"/>
  <c r="O1212" i="1" a="1"/>
  <c r="O1212" i="1"/>
  <c r="O1213" i="1" a="1"/>
  <c r="O1213" i="1" s="1"/>
  <c r="O1214" i="1" a="1"/>
  <c r="O1214" i="1" s="1"/>
  <c r="O1215" i="1" a="1"/>
  <c r="O1215" i="1" s="1"/>
  <c r="O1216" i="1" a="1"/>
  <c r="O1216" i="1" s="1"/>
  <c r="O1217" i="1" a="1"/>
  <c r="O1217" i="1"/>
  <c r="O1218" i="1" a="1"/>
  <c r="O1218" i="1"/>
  <c r="O1219" i="1" a="1"/>
  <c r="O1219" i="1" s="1"/>
  <c r="O1220" i="1" a="1"/>
  <c r="O1220" i="1" s="1"/>
  <c r="O1221" i="1" a="1"/>
  <c r="O1221" i="1" s="1"/>
  <c r="O1222" i="1" a="1"/>
  <c r="O1222" i="1"/>
  <c r="O1223" i="1" a="1"/>
  <c r="O1223" i="1" s="1"/>
  <c r="O1224" i="1" a="1"/>
  <c r="O1224" i="1"/>
  <c r="O1225" i="1" a="1"/>
  <c r="O1225" i="1" s="1"/>
  <c r="O1226" i="1" a="1"/>
  <c r="O1226" i="1" s="1"/>
  <c r="O1227" i="1" a="1"/>
  <c r="O1227" i="1" s="1"/>
  <c r="O1228" i="1" a="1"/>
  <c r="O1228" i="1"/>
  <c r="O1229" i="1" a="1"/>
  <c r="O1229" i="1" s="1"/>
  <c r="O1230" i="1" a="1"/>
  <c r="O1230" i="1"/>
  <c r="O1231" i="1" a="1"/>
  <c r="O1231" i="1"/>
  <c r="O1232" i="1" a="1"/>
  <c r="O1232" i="1"/>
  <c r="O1233" i="1" a="1"/>
  <c r="O1233" i="1" s="1"/>
  <c r="O1234" i="1" a="1"/>
  <c r="O1234" i="1" s="1"/>
  <c r="O1235" i="1" a="1"/>
  <c r="O1235" i="1"/>
  <c r="O1236" i="1" a="1"/>
  <c r="O1236" i="1" s="1"/>
  <c r="O1237" i="1" a="1"/>
  <c r="O1237" i="1"/>
  <c r="O1238" i="1" a="1"/>
  <c r="O1238" i="1" s="1"/>
  <c r="O1239" i="1" a="1"/>
  <c r="O1239" i="1" s="1"/>
  <c r="O1240" i="1" a="1"/>
  <c r="O1240" i="1"/>
  <c r="O1241" i="1" a="1"/>
  <c r="O1241" i="1"/>
  <c r="O1242" i="1" a="1"/>
  <c r="O1242" i="1" s="1"/>
  <c r="O1243" i="1" a="1"/>
  <c r="O1243" i="1"/>
  <c r="O1244" i="1" a="1"/>
  <c r="O1244" i="1"/>
  <c r="O1245" i="1" a="1"/>
  <c r="O1245" i="1" s="1"/>
  <c r="O1246" i="1" a="1"/>
  <c r="O1246" i="1" s="1"/>
  <c r="O1247" i="1" a="1"/>
  <c r="O1247" i="1" s="1"/>
  <c r="O1248" i="1" a="1"/>
  <c r="O1248" i="1"/>
  <c r="O1249" i="1" a="1"/>
  <c r="O1249" i="1" s="1"/>
  <c r="O1250" i="1" a="1"/>
  <c r="O1250" i="1"/>
  <c r="O1251" i="1" a="1"/>
  <c r="O1251" i="1" s="1"/>
  <c r="O1252" i="1" a="1"/>
  <c r="O1252" i="1"/>
  <c r="O1253" i="1" a="1"/>
  <c r="O1253" i="1"/>
  <c r="O1254" i="1" a="1"/>
  <c r="O1254" i="1"/>
  <c r="O1255" i="1" a="1"/>
  <c r="O1255" i="1" s="1"/>
  <c r="O1256" i="1" a="1"/>
  <c r="O1256" i="1"/>
  <c r="O1257" i="1" a="1"/>
  <c r="O1257" i="1" s="1"/>
  <c r="O1258" i="1" a="1"/>
  <c r="O1258" i="1" s="1"/>
  <c r="O1259" i="1" a="1"/>
  <c r="O1259" i="1" s="1"/>
  <c r="O1260" i="1" a="1"/>
  <c r="O1260" i="1" s="1"/>
  <c r="O1261" i="1" a="1"/>
  <c r="O1261" i="1"/>
  <c r="O1262" i="1" a="1"/>
  <c r="O1262" i="1" s="1"/>
  <c r="O1263" i="1" a="1"/>
  <c r="O1263" i="1" s="1"/>
  <c r="O1264" i="1" a="1"/>
  <c r="O1264" i="1"/>
  <c r="O1265" i="1" a="1"/>
  <c r="O1265" i="1"/>
  <c r="O1266" i="1" a="1"/>
  <c r="O1266" i="1" s="1"/>
  <c r="O1267" i="1" a="1"/>
  <c r="O1267" i="1"/>
  <c r="O1268" i="1" a="1"/>
  <c r="O1268" i="1" s="1"/>
  <c r="O1269" i="1" a="1"/>
  <c r="O1269" i="1" s="1"/>
  <c r="O1270" i="1" a="1"/>
  <c r="O1270" i="1"/>
  <c r="O1271" i="1" a="1"/>
  <c r="O1271" i="1" s="1"/>
  <c r="O1272" i="1" a="1"/>
  <c r="O1272" i="1" s="1"/>
  <c r="O1273" i="1" a="1"/>
  <c r="O1273" i="1" s="1"/>
  <c r="O1274" i="1" a="1"/>
  <c r="O1274" i="1"/>
  <c r="O1275" i="1" a="1"/>
  <c r="O1275" i="1" s="1"/>
  <c r="O1276" i="1" a="1"/>
  <c r="O1276" i="1"/>
  <c r="O1277" i="1" a="1"/>
  <c r="O1277" i="1"/>
  <c r="O1278" i="1" a="1"/>
  <c r="O1278" i="1" s="1"/>
  <c r="O1279" i="1" a="1"/>
  <c r="O1279" i="1"/>
  <c r="O1280" i="1" a="1"/>
  <c r="O1280" i="1"/>
  <c r="O1281" i="1" a="1"/>
  <c r="O1281" i="1" s="1"/>
  <c r="O1282" i="1" a="1"/>
  <c r="O1282" i="1" s="1"/>
  <c r="O1283" i="1" a="1"/>
  <c r="O1283" i="1"/>
  <c r="O1284" i="1" a="1"/>
  <c r="O1284" i="1" s="1"/>
  <c r="O1285" i="1" a="1"/>
  <c r="O1285" i="1" s="1"/>
  <c r="O1286" i="1" a="1"/>
  <c r="O1286" i="1" s="1"/>
  <c r="O1287" i="1" a="1"/>
  <c r="O1287" i="1" s="1"/>
  <c r="O1288" i="1" a="1"/>
  <c r="O1288" i="1" s="1"/>
  <c r="O1289" i="1" a="1"/>
  <c r="O1289" i="1"/>
  <c r="O1290" i="1" a="1"/>
  <c r="O1290" i="1"/>
  <c r="O1291" i="1" a="1"/>
  <c r="O1291" i="1"/>
  <c r="O1292" i="1" a="1"/>
  <c r="O1292" i="1"/>
  <c r="O1293" i="1" a="1"/>
  <c r="O1293" i="1" s="1"/>
  <c r="O1294" i="1" a="1"/>
  <c r="O1294" i="1"/>
  <c r="O1295" i="1" a="1"/>
  <c r="O1295" i="1" s="1"/>
  <c r="O1296" i="1" a="1"/>
  <c r="O1296" i="1"/>
  <c r="O1297" i="1" a="1"/>
  <c r="O1297" i="1" s="1"/>
  <c r="O1298" i="1" a="1"/>
  <c r="O1298" i="1" s="1"/>
  <c r="O1299" i="1" a="1"/>
  <c r="O1299" i="1" s="1"/>
  <c r="O1300" i="1" a="1"/>
  <c r="O1300" i="1"/>
  <c r="O1301" i="1" a="1"/>
  <c r="O1301" i="1" s="1"/>
  <c r="O1302" i="1" a="1"/>
  <c r="O1302" i="1"/>
  <c r="O1303" i="1" a="1"/>
  <c r="O1303" i="1"/>
  <c r="O1304" i="1" a="1"/>
  <c r="O1304" i="1" s="1"/>
  <c r="O1305" i="1" a="1"/>
  <c r="O1305" i="1" s="1"/>
  <c r="O1306" i="1" a="1"/>
  <c r="O1306" i="1" s="1"/>
  <c r="O1307" i="1" a="1"/>
  <c r="O1307" i="1"/>
  <c r="O1308" i="1" a="1"/>
  <c r="O1308" i="1" s="1"/>
  <c r="O1309" i="1" a="1"/>
  <c r="O1309" i="1"/>
  <c r="O1310" i="1" a="1"/>
  <c r="O1310" i="1"/>
  <c r="O1311" i="1" a="1"/>
  <c r="O1311" i="1" s="1"/>
  <c r="O1312" i="1" a="1"/>
  <c r="O1312" i="1"/>
  <c r="O1313" i="1" a="1"/>
  <c r="O1313" i="1"/>
  <c r="O1314" i="1" a="1"/>
  <c r="O1314" i="1" s="1"/>
  <c r="O1315" i="1" a="1"/>
  <c r="O1315" i="1"/>
  <c r="O1316" i="1" a="1"/>
  <c r="O1316" i="1"/>
  <c r="O1317" i="1" a="1"/>
  <c r="O1317" i="1" s="1"/>
  <c r="O1318" i="1" a="1"/>
  <c r="O1318" i="1" s="1"/>
  <c r="O1319" i="1" a="1"/>
  <c r="O1319" i="1" s="1"/>
  <c r="O1320" i="1" a="1"/>
  <c r="O1320" i="1"/>
  <c r="O1321" i="1" a="1"/>
  <c r="O1321" i="1" s="1"/>
  <c r="O1322" i="1" a="1"/>
  <c r="O1322" i="1"/>
  <c r="O1323" i="1" a="1"/>
  <c r="O1323" i="1" s="1"/>
  <c r="O1324" i="1" a="1"/>
  <c r="O1324" i="1"/>
  <c r="O1325" i="1" a="1"/>
  <c r="O1325" i="1"/>
  <c r="O1326" i="1" a="1"/>
  <c r="O1326" i="1"/>
  <c r="O1327" i="1" a="1"/>
  <c r="O1327" i="1" s="1"/>
  <c r="O1328" i="1" a="1"/>
  <c r="O1328" i="1"/>
  <c r="O1329" i="1" a="1"/>
  <c r="O1329" i="1" s="1"/>
  <c r="O1330" i="1" a="1"/>
  <c r="O1330" i="1" s="1"/>
  <c r="O1331" i="1" a="1"/>
  <c r="O1331" i="1" s="1"/>
  <c r="O1332" i="1" a="1"/>
  <c r="O1332" i="1" s="1"/>
  <c r="O1333" i="1" a="1"/>
  <c r="O1333" i="1"/>
  <c r="O1334" i="1" a="1"/>
  <c r="O1334" i="1" s="1"/>
  <c r="O1335" i="1" a="1"/>
  <c r="O1335" i="1" s="1"/>
  <c r="O1336" i="1" a="1"/>
  <c r="O1336" i="1"/>
  <c r="O1337" i="1" a="1"/>
  <c r="O1337" i="1"/>
  <c r="O1338" i="1" a="1"/>
  <c r="O1338" i="1"/>
  <c r="O1339" i="1" a="1"/>
  <c r="O1339" i="1"/>
  <c r="O1340" i="1" a="1"/>
  <c r="O1340" i="1" s="1"/>
  <c r="O1341" i="1" a="1"/>
  <c r="O1341" i="1" s="1"/>
  <c r="O1342" i="1" a="1"/>
  <c r="O1342" i="1"/>
  <c r="O1343" i="1" a="1"/>
  <c r="O1343" i="1" s="1"/>
  <c r="O1344" i="1" a="1"/>
  <c r="O1344" i="1" s="1"/>
  <c r="O1345" i="1" a="1"/>
  <c r="O1345" i="1" s="1"/>
  <c r="O1346" i="1" a="1"/>
  <c r="O1346" i="1"/>
  <c r="O1347" i="1" a="1"/>
  <c r="O1347" i="1" s="1"/>
  <c r="O1348" i="1" a="1"/>
  <c r="O1348" i="1"/>
  <c r="O1349" i="1" a="1"/>
  <c r="O1349" i="1"/>
  <c r="O1350" i="1" a="1"/>
  <c r="O1350" i="1"/>
  <c r="O1351" i="1" a="1"/>
  <c r="O1351" i="1"/>
  <c r="O1352" i="1" a="1"/>
  <c r="O1352" i="1"/>
  <c r="O1353" i="1" a="1"/>
  <c r="O1353" i="1" s="1"/>
  <c r="O1354" i="1" a="1"/>
  <c r="O1354" i="1" s="1"/>
  <c r="O1355" i="1" a="1"/>
  <c r="O1355" i="1"/>
  <c r="O1356" i="1" a="1"/>
  <c r="O1356" i="1"/>
  <c r="O1357" i="1" a="1"/>
  <c r="O1357" i="1" s="1"/>
  <c r="O1358" i="1" a="1"/>
  <c r="O1358" i="1" s="1"/>
  <c r="O1359" i="1" a="1"/>
  <c r="O1359" i="1" s="1"/>
  <c r="O1360" i="1" a="1"/>
  <c r="O1360" i="1" s="1"/>
  <c r="O1361" i="1" a="1"/>
  <c r="O1361" i="1"/>
  <c r="O1362" i="1" a="1"/>
  <c r="O1362" i="1"/>
  <c r="O1363" i="1" a="1"/>
  <c r="O1363" i="1" s="1"/>
  <c r="O1364" i="1" a="1"/>
  <c r="O1364" i="1"/>
  <c r="O1365" i="1" a="1"/>
  <c r="O1365" i="1" s="1"/>
  <c r="O1366" i="1" a="1"/>
  <c r="O1366" i="1"/>
  <c r="O1367" i="1" a="1"/>
  <c r="O1367" i="1" s="1"/>
  <c r="O1368" i="1" a="1"/>
  <c r="O1368" i="1"/>
  <c r="O1369" i="1" a="1"/>
  <c r="O1369" i="1"/>
  <c r="O1370" i="1" a="1"/>
  <c r="O1370" i="1" s="1"/>
  <c r="O1371" i="1" a="1"/>
  <c r="O1371" i="1" s="1"/>
  <c r="O1372" i="1" a="1"/>
  <c r="O1372" i="1"/>
  <c r="O1373" i="1" a="1"/>
  <c r="O1373" i="1" s="1"/>
  <c r="O1374" i="1" a="1"/>
  <c r="O1374" i="1"/>
  <c r="O1375" i="1" a="1"/>
  <c r="O1375" i="1"/>
  <c r="O1376" i="1" a="1"/>
  <c r="O1376" i="1" s="1"/>
  <c r="O1377" i="1" a="1"/>
  <c r="O1377" i="1" s="1"/>
  <c r="O1378" i="1" a="1"/>
  <c r="O1378" i="1" s="1"/>
  <c r="O1379" i="1" a="1"/>
  <c r="O1379" i="1"/>
  <c r="O1380" i="1" a="1"/>
  <c r="O1380" i="1" s="1"/>
  <c r="O1381" i="1" a="1"/>
  <c r="O1381" i="1"/>
  <c r="O1382" i="1" a="1"/>
  <c r="O1382" i="1" s="1"/>
  <c r="O1383" i="1" a="1"/>
  <c r="O1383" i="1" s="1"/>
  <c r="O1384" i="1" a="1"/>
  <c r="O1384" i="1"/>
  <c r="O1385" i="1" a="1"/>
  <c r="O1385" i="1"/>
  <c r="O1386" i="1" a="1"/>
  <c r="O1386" i="1" s="1"/>
  <c r="O1387" i="1" a="1"/>
  <c r="O1387" i="1"/>
  <c r="O1388" i="1" a="1"/>
  <c r="O1388" i="1"/>
  <c r="O1389" i="1" a="1"/>
  <c r="O1389" i="1" s="1"/>
  <c r="O1390" i="1" a="1"/>
  <c r="O1390" i="1" s="1"/>
  <c r="O1391" i="1" a="1"/>
  <c r="O1391" i="1" s="1"/>
  <c r="O1392" i="1" a="1"/>
  <c r="O1392" i="1"/>
  <c r="O1393" i="1" a="1"/>
  <c r="O1393" i="1" s="1"/>
  <c r="O1394" i="1" a="1"/>
  <c r="O1394" i="1"/>
  <c r="O1395" i="1" a="1"/>
  <c r="O1395" i="1" s="1"/>
  <c r="O1396" i="1" a="1"/>
  <c r="O1396" i="1"/>
  <c r="O1397" i="1" a="1"/>
  <c r="O1397" i="1"/>
  <c r="O1398" i="1" a="1"/>
  <c r="O1398" i="1"/>
  <c r="O1399" i="1" a="1"/>
  <c r="O1399" i="1" s="1"/>
  <c r="O1400" i="1" a="1"/>
  <c r="O1400" i="1"/>
  <c r="O1401" i="1" a="1"/>
  <c r="O1401" i="1" s="1"/>
  <c r="O1402" i="1" a="1"/>
  <c r="O1402" i="1" s="1"/>
  <c r="O1403" i="1" a="1"/>
  <c r="O1403" i="1" s="1"/>
  <c r="O1404" i="1" a="1"/>
  <c r="O1404" i="1" s="1"/>
  <c r="O1405" i="1" a="1"/>
  <c r="O1405" i="1"/>
  <c r="O1406" i="1" a="1"/>
  <c r="O1406" i="1" s="1"/>
  <c r="O1407" i="1" a="1"/>
  <c r="O1407" i="1" s="1"/>
  <c r="O1408" i="1" a="1"/>
  <c r="O1408" i="1"/>
  <c r="O1409" i="1" a="1"/>
  <c r="O1409" i="1" s="1"/>
  <c r="O1410" i="1" a="1"/>
  <c r="O1410" i="1"/>
  <c r="O1411" i="1" a="1"/>
  <c r="O1411" i="1"/>
  <c r="O1412" i="1" a="1"/>
  <c r="O1412" i="1" s="1"/>
  <c r="O1413" i="1" a="1"/>
  <c r="O1413" i="1" s="1"/>
  <c r="O1414" i="1" a="1"/>
  <c r="O1414" i="1"/>
  <c r="O1415" i="1" a="1"/>
  <c r="O1415" i="1" s="1"/>
  <c r="O1416" i="1" a="1"/>
  <c r="O1416" i="1" s="1"/>
  <c r="O1417" i="1" a="1"/>
  <c r="O1417" i="1" s="1"/>
  <c r="O1418" i="1" a="1"/>
  <c r="O1418" i="1"/>
  <c r="O1419" i="1" a="1"/>
  <c r="O1419" i="1" s="1"/>
  <c r="O1420" i="1" a="1"/>
  <c r="O1420" i="1"/>
  <c r="O1421" i="1" a="1"/>
  <c r="O1421" i="1"/>
  <c r="O1422" i="1" a="1"/>
  <c r="O1422" i="1"/>
  <c r="O1423" i="1" a="1"/>
  <c r="O1423" i="1"/>
  <c r="O1424" i="1" a="1"/>
  <c r="O1424" i="1"/>
  <c r="O1425" i="1" a="1"/>
  <c r="O1425" i="1" s="1"/>
  <c r="O1426" i="1" a="1"/>
  <c r="O1426" i="1" s="1"/>
  <c r="O1427" i="1" a="1"/>
  <c r="O1427" i="1"/>
  <c r="O1428" i="1" a="1"/>
  <c r="O1428" i="1" s="1"/>
  <c r="O1429" i="1" a="1"/>
  <c r="O1429" i="1" s="1"/>
  <c r="O1430" i="1" a="1"/>
  <c r="O1430" i="1" s="1"/>
  <c r="O1431" i="1" a="1"/>
  <c r="O1431" i="1" s="1"/>
  <c r="O1432" i="1" a="1"/>
  <c r="O1432" i="1" s="1"/>
  <c r="O1433" i="1" a="1"/>
  <c r="O1433" i="1"/>
  <c r="O1434" i="1" a="1"/>
  <c r="O1434" i="1"/>
  <c r="O1435" i="1" a="1"/>
  <c r="O1435" i="1"/>
  <c r="O1436" i="1" a="1"/>
  <c r="O1436" i="1"/>
  <c r="O1437" i="1" a="1"/>
  <c r="O1437" i="1" s="1"/>
  <c r="O1438" i="1" a="1"/>
  <c r="O1438" i="1"/>
  <c r="O1439" i="1" a="1"/>
  <c r="O1439" i="1" s="1"/>
  <c r="O1440" i="1" a="1"/>
  <c r="O1440" i="1"/>
  <c r="O1441" i="1" a="1"/>
  <c r="O1441" i="1"/>
  <c r="O1442" i="1" a="1"/>
  <c r="O1442" i="1" s="1"/>
  <c r="O1443" i="1" a="1"/>
  <c r="O1443" i="1" s="1"/>
  <c r="O1444" i="1" a="1"/>
  <c r="O1444" i="1"/>
  <c r="O1445" i="1" a="1"/>
  <c r="O1445" i="1" s="1"/>
  <c r="O1446" i="1" a="1"/>
  <c r="O1446" i="1"/>
  <c r="O1447" i="1" a="1"/>
  <c r="O1447" i="1"/>
  <c r="O1448" i="1" a="1"/>
  <c r="O1448" i="1" s="1"/>
  <c r="O1449" i="1" a="1"/>
  <c r="O1449" i="1" s="1"/>
  <c r="O1450" i="1" a="1"/>
  <c r="O1450" i="1" s="1"/>
  <c r="O1451" i="1" a="1"/>
  <c r="O1451" i="1"/>
  <c r="O1452" i="1" a="1"/>
  <c r="O1452" i="1" s="1"/>
  <c r="O1453" i="1" a="1"/>
  <c r="O1453" i="1"/>
  <c r="O1454" i="1" a="1"/>
  <c r="O1454" i="1"/>
  <c r="O1455" i="1" a="1"/>
  <c r="O1455" i="1" s="1"/>
  <c r="O1456" i="1" a="1"/>
  <c r="O1456" i="1" s="1"/>
  <c r="O1457" i="1" a="1"/>
  <c r="O1457" i="1"/>
  <c r="O1458" i="1" a="1"/>
  <c r="O1458" i="1" s="1"/>
  <c r="O1459" i="1" a="1"/>
  <c r="O1459" i="1"/>
  <c r="O1460" i="1" a="1"/>
  <c r="O1460" i="1"/>
  <c r="O1461" i="1" a="1"/>
  <c r="O1461" i="1" s="1"/>
  <c r="O1462" i="1" a="1"/>
  <c r="O1462" i="1" s="1"/>
  <c r="O1463" i="1" a="1"/>
  <c r="O1463" i="1" s="1"/>
  <c r="O1464" i="1" a="1"/>
  <c r="O1464" i="1"/>
  <c r="O1465" i="1" a="1"/>
  <c r="O1465" i="1" s="1"/>
  <c r="O1466" i="1" a="1"/>
  <c r="O1466" i="1"/>
  <c r="O1467" i="1" a="1"/>
  <c r="O1467" i="1" s="1"/>
  <c r="O1468" i="1" a="1"/>
  <c r="O1468" i="1" s="1"/>
  <c r="O1469" i="1" a="1"/>
  <c r="O1469" i="1"/>
  <c r="O1470" i="1" a="1"/>
  <c r="O1470" i="1"/>
  <c r="O1471" i="1" a="1"/>
  <c r="O1471" i="1" s="1"/>
  <c r="O1472" i="1" a="1"/>
  <c r="O1472" i="1"/>
  <c r="O1473" i="1" a="1"/>
  <c r="O1473" i="1" s="1"/>
  <c r="O1474" i="1" a="1"/>
  <c r="O1474" i="1"/>
  <c r="O1475" i="1" a="1"/>
  <c r="O1475" i="1" s="1"/>
  <c r="O1476" i="1" a="1"/>
  <c r="O1476" i="1" s="1"/>
  <c r="O1477" i="1" a="1"/>
  <c r="O1477" i="1"/>
  <c r="O1478" i="1" a="1"/>
  <c r="O1478" i="1" s="1"/>
  <c r="O1479" i="1" a="1"/>
  <c r="O1479" i="1" s="1"/>
  <c r="O1480" i="1" a="1"/>
  <c r="O1480" i="1"/>
  <c r="O1481" i="1" a="1"/>
  <c r="O1481" i="1"/>
  <c r="O1482" i="1" a="1"/>
  <c r="O1482" i="1"/>
  <c r="O1483" i="1" a="1"/>
  <c r="O1483" i="1"/>
  <c r="O1484" i="1" a="1"/>
  <c r="O1484" i="1" s="1"/>
  <c r="O1485" i="1" a="1"/>
  <c r="O1485" i="1"/>
  <c r="O1486" i="1" a="1"/>
  <c r="O1486" i="1"/>
  <c r="O1487" i="1" a="1"/>
  <c r="O1487" i="1" s="1"/>
  <c r="O1488" i="1" a="1"/>
  <c r="O1488" i="1" s="1"/>
  <c r="O1489" i="1" a="1"/>
  <c r="O1489" i="1"/>
  <c r="O1490" i="1" a="1"/>
  <c r="O1490" i="1" s="1"/>
  <c r="O1491" i="1" a="1"/>
  <c r="O1491" i="1"/>
  <c r="O1492" i="1" a="1"/>
  <c r="O1492" i="1"/>
  <c r="O1493" i="1" a="1"/>
  <c r="O1493" i="1"/>
  <c r="O1494" i="1" a="1"/>
  <c r="O1494" i="1" s="1"/>
  <c r="O1495" i="1" a="1"/>
  <c r="O1495" i="1"/>
  <c r="O1496" i="1" a="1"/>
  <c r="O1496" i="1" s="1"/>
  <c r="O1497" i="1" a="1"/>
  <c r="O1497" i="1"/>
  <c r="O1498" i="1" a="1"/>
  <c r="O1498" i="1"/>
  <c r="O1499" i="1" a="1"/>
  <c r="O1499" i="1" s="1"/>
  <c r="O1500" i="1" a="1"/>
  <c r="O1500" i="1" s="1"/>
  <c r="O1501" i="1" a="1"/>
  <c r="O1501" i="1"/>
  <c r="O1502" i="1" a="1"/>
  <c r="O1502" i="1" s="1"/>
  <c r="O1503" i="1" a="1"/>
  <c r="O1503" i="1" s="1"/>
  <c r="O1504" i="1" a="1"/>
  <c r="O1504" i="1"/>
  <c r="O1505" i="1" a="1"/>
  <c r="O1505" i="1" s="1"/>
  <c r="O1506" i="1" a="1"/>
  <c r="O1506" i="1" s="1"/>
  <c r="O1507" i="1" a="1"/>
  <c r="O1507" i="1"/>
  <c r="O1508" i="1" a="1"/>
  <c r="O1508" i="1" s="1"/>
  <c r="O1509" i="1" a="1"/>
  <c r="O1509" i="1" s="1"/>
  <c r="O1510" i="1" a="1"/>
  <c r="O1510" i="1"/>
  <c r="O1511" i="1" a="1"/>
  <c r="O1511" i="1"/>
  <c r="O1512" i="1" a="1"/>
  <c r="O1512" i="1" s="1"/>
  <c r="O1513" i="1" a="1"/>
  <c r="O1513" i="1"/>
  <c r="O1514" i="1" a="1"/>
  <c r="O1514" i="1" s="1"/>
  <c r="O1515" i="1" a="1"/>
  <c r="O1515" i="1" s="1"/>
  <c r="O1516" i="1" a="1"/>
  <c r="O1516" i="1" s="1"/>
  <c r="O1517" i="1" a="1"/>
  <c r="O1517" i="1" s="1"/>
  <c r="O1518" i="1" a="1"/>
  <c r="O1518" i="1" s="1"/>
  <c r="O1519" i="1" a="1"/>
  <c r="O1519" i="1"/>
  <c r="O1520" i="1" a="1"/>
  <c r="O1520" i="1" s="1"/>
  <c r="O1521" i="1" a="1"/>
  <c r="O1521" i="1" s="1"/>
  <c r="O1522" i="1" a="1"/>
  <c r="O1522" i="1"/>
  <c r="O1523" i="1" a="1"/>
  <c r="O1523" i="1"/>
  <c r="O1524" i="1" a="1"/>
  <c r="O1524" i="1" s="1"/>
  <c r="O1525" i="1" a="1"/>
  <c r="O1525" i="1"/>
  <c r="O1526" i="1" a="1"/>
  <c r="O1526" i="1" s="1"/>
  <c r="O1527" i="1" a="1"/>
  <c r="O1527" i="1" s="1"/>
  <c r="O1528" i="1" a="1"/>
  <c r="O1528" i="1"/>
  <c r="O1529" i="1" a="1"/>
  <c r="O1529" i="1" s="1"/>
  <c r="O1530" i="1" a="1"/>
  <c r="O1530" i="1" s="1"/>
  <c r="O1531" i="1" a="1"/>
  <c r="O1531" i="1"/>
  <c r="O1532" i="1" a="1"/>
  <c r="O1532" i="1" s="1"/>
  <c r="O1533" i="1" a="1"/>
  <c r="O1533" i="1" s="1"/>
  <c r="O1534" i="1" a="1"/>
  <c r="O1534" i="1" s="1"/>
  <c r="O1535" i="1" a="1"/>
  <c r="O1535" i="1"/>
  <c r="O1536" i="1" a="1"/>
  <c r="O1536" i="1" s="1"/>
  <c r="O1537" i="1" a="1"/>
  <c r="O1537" i="1" s="1"/>
  <c r="O1538" i="1" a="1"/>
  <c r="O1538" i="1" s="1"/>
  <c r="O1539" i="1" a="1"/>
  <c r="O1539" i="1" s="1"/>
  <c r="O1540" i="1" a="1"/>
  <c r="O1540" i="1" s="1"/>
  <c r="O1541" i="1" a="1"/>
  <c r="O1541" i="1"/>
  <c r="O1542" i="1" a="1"/>
  <c r="O1542" i="1" s="1"/>
  <c r="O1543" i="1" a="1"/>
  <c r="O1543" i="1" s="1"/>
  <c r="O1544" i="1" a="1"/>
  <c r="O1544" i="1" s="1"/>
  <c r="O1545" i="1" a="1"/>
  <c r="O1545" i="1" s="1"/>
  <c r="O1546" i="1" a="1"/>
  <c r="O1546" i="1" s="1"/>
  <c r="O1547" i="1" a="1"/>
  <c r="O1547" i="1"/>
  <c r="O1548" i="1" a="1"/>
  <c r="O1548" i="1" s="1"/>
  <c r="O1549" i="1" a="1"/>
  <c r="O1549" i="1" s="1"/>
  <c r="O1550" i="1" a="1"/>
  <c r="O1550" i="1" s="1"/>
  <c r="O1551" i="1" a="1"/>
  <c r="O1551" i="1" s="1"/>
  <c r="O1552" i="1" a="1"/>
  <c r="O1552" i="1" s="1"/>
  <c r="O1553" i="1" a="1"/>
  <c r="O1553" i="1"/>
  <c r="O1554" i="1" a="1"/>
  <c r="O1554" i="1" s="1"/>
  <c r="O1555" i="1" a="1"/>
  <c r="O1555" i="1" s="1"/>
  <c r="O1556" i="1" a="1"/>
  <c r="O1556" i="1" s="1"/>
  <c r="O1557" i="1" a="1"/>
  <c r="O1557" i="1" s="1"/>
  <c r="O1558" i="1" a="1"/>
  <c r="O1558" i="1" s="1"/>
  <c r="O1559" i="1" a="1"/>
  <c r="O1559" i="1" s="1"/>
  <c r="O1560" i="1" a="1"/>
  <c r="O1560" i="1" s="1"/>
  <c r="O1561" i="1" a="1"/>
  <c r="O1561" i="1" s="1"/>
  <c r="O1562" i="1" a="1"/>
  <c r="O1562" i="1" s="1"/>
  <c r="O1563" i="1" a="1"/>
  <c r="O1563" i="1" s="1"/>
  <c r="O1564" i="1" a="1"/>
  <c r="O1564" i="1" s="1"/>
  <c r="O1565" i="1" a="1"/>
  <c r="O1565" i="1" s="1"/>
  <c r="O1566" i="1" a="1"/>
  <c r="O1566" i="1" s="1"/>
  <c r="O1567" i="1" a="1"/>
  <c r="O1567" i="1" s="1"/>
  <c r="O1568" i="1" a="1"/>
  <c r="O1568" i="1" s="1"/>
  <c r="O1569" i="1" a="1"/>
  <c r="O1569" i="1" s="1"/>
  <c r="O1570" i="1" a="1"/>
  <c r="O1570" i="1" s="1"/>
  <c r="O1571" i="1" a="1"/>
  <c r="O1571" i="1"/>
  <c r="O1572" i="1" a="1"/>
  <c r="O1572" i="1" s="1"/>
  <c r="O1573" i="1" a="1"/>
  <c r="O1573" i="1" s="1"/>
  <c r="O1574" i="1" a="1"/>
  <c r="O1574" i="1" s="1"/>
  <c r="O1575" i="1" a="1"/>
  <c r="O1575" i="1" s="1"/>
  <c r="O1576" i="1" a="1"/>
  <c r="O1576" i="1"/>
  <c r="O1577" i="1" a="1"/>
  <c r="O1577" i="1"/>
  <c r="O1578" i="1" a="1"/>
  <c r="O1578" i="1" s="1"/>
  <c r="O1579" i="1" a="1"/>
  <c r="O1579" i="1" s="1"/>
  <c r="O1580" i="1" a="1"/>
  <c r="O1580" i="1" s="1"/>
  <c r="O1581" i="1" a="1"/>
  <c r="O1581" i="1" s="1"/>
  <c r="O1582" i="1" a="1"/>
  <c r="O1582" i="1" s="1"/>
  <c r="O1583" i="1" a="1"/>
  <c r="O1583" i="1" s="1"/>
  <c r="O1584" i="1" a="1"/>
  <c r="O1584" i="1" s="1"/>
  <c r="O1585" i="1" a="1"/>
  <c r="O1585" i="1" s="1"/>
  <c r="O1586" i="1" a="1"/>
  <c r="O1586" i="1" s="1"/>
  <c r="O1587" i="1" a="1"/>
  <c r="O1587" i="1" s="1"/>
  <c r="O1588" i="1" a="1"/>
  <c r="O1588" i="1" s="1"/>
  <c r="O1589" i="1" a="1"/>
  <c r="O1589" i="1" s="1"/>
  <c r="O1590" i="1" a="1"/>
  <c r="O1590" i="1" s="1"/>
  <c r="O1591" i="1" a="1"/>
  <c r="O1591" i="1" s="1"/>
  <c r="O1592" i="1" a="1"/>
  <c r="O1592" i="1" s="1"/>
  <c r="O1593" i="1" a="1"/>
  <c r="O1593" i="1" s="1"/>
  <c r="O1594" i="1" a="1"/>
  <c r="O1594" i="1" s="1"/>
  <c r="O1595" i="1" a="1"/>
  <c r="O1595" i="1"/>
  <c r="O1596" i="1" a="1"/>
  <c r="O1596" i="1" s="1"/>
  <c r="O1597" i="1" a="1"/>
  <c r="O1597" i="1" s="1"/>
  <c r="O1598" i="1" a="1"/>
  <c r="O1598" i="1" s="1"/>
  <c r="O1599" i="1" a="1"/>
  <c r="O1599" i="1" s="1"/>
  <c r="O1600" i="1" a="1"/>
  <c r="O1600" i="1" s="1"/>
  <c r="O1601" i="1" a="1"/>
  <c r="O1601" i="1" s="1"/>
  <c r="O1602" i="1" a="1"/>
  <c r="O1602" i="1" s="1"/>
  <c r="O1603" i="1" a="1"/>
  <c r="O1603" i="1" s="1"/>
  <c r="O1604" i="1" a="1"/>
  <c r="O1604" i="1" s="1"/>
  <c r="O1605" i="1" a="1"/>
  <c r="O1605" i="1" s="1"/>
  <c r="O1606" i="1" a="1"/>
  <c r="O1606" i="1" s="1"/>
  <c r="O1607" i="1" a="1"/>
  <c r="O1607" i="1" s="1"/>
  <c r="O1608" i="1" a="1"/>
  <c r="O1608" i="1" s="1"/>
  <c r="O1609" i="1" a="1"/>
  <c r="O1609" i="1" s="1"/>
  <c r="O1610" i="1" a="1"/>
  <c r="O1610" i="1" s="1"/>
  <c r="O1611" i="1" a="1"/>
  <c r="O1611" i="1" s="1"/>
  <c r="O1612" i="1" a="1"/>
  <c r="O1612" i="1"/>
  <c r="O1613" i="1" a="1"/>
  <c r="O1613" i="1"/>
  <c r="O1614" i="1" a="1"/>
  <c r="O1614" i="1" s="1"/>
  <c r="O1615" i="1" a="1"/>
  <c r="O1615" i="1" s="1"/>
  <c r="O1616" i="1" a="1"/>
  <c r="O1616" i="1" s="1"/>
  <c r="O1617" i="1" a="1"/>
  <c r="O1617" i="1" s="1"/>
  <c r="O1618" i="1" a="1"/>
  <c r="O1618" i="1" s="1"/>
  <c r="O1619" i="1" a="1"/>
  <c r="O1619" i="1" s="1"/>
  <c r="O1620" i="1" a="1"/>
  <c r="O1620" i="1" s="1"/>
  <c r="O1621" i="1" a="1"/>
  <c r="O1621" i="1" s="1"/>
  <c r="O1622" i="1" a="1"/>
  <c r="O1622" i="1" s="1"/>
  <c r="O1623" i="1" a="1"/>
  <c r="O1623" i="1" s="1"/>
  <c r="O1624" i="1" a="1"/>
  <c r="O1624" i="1" s="1"/>
  <c r="O1625" i="1" a="1"/>
  <c r="O1625" i="1" s="1"/>
  <c r="O1626" i="1" a="1"/>
  <c r="O1626" i="1" s="1"/>
  <c r="O1627" i="1" a="1"/>
  <c r="O1627" i="1" s="1"/>
  <c r="O1628" i="1" a="1"/>
  <c r="O1628" i="1" s="1"/>
  <c r="O1629" i="1" a="1"/>
  <c r="O1629" i="1" s="1"/>
  <c r="O1630" i="1" a="1"/>
  <c r="O1630" i="1"/>
  <c r="O1631" i="1" a="1"/>
  <c r="O1631" i="1" s="1"/>
  <c r="O1632" i="1" a="1"/>
  <c r="O1632" i="1" s="1"/>
  <c r="O1633" i="1" a="1"/>
  <c r="O1633" i="1" s="1"/>
  <c r="O1634" i="1" a="1"/>
  <c r="O1634" i="1" s="1"/>
  <c r="O1635" i="1" a="1"/>
  <c r="O1635" i="1" s="1"/>
  <c r="O1636" i="1" a="1"/>
  <c r="O1636" i="1" s="1"/>
  <c r="O1637" i="1" a="1"/>
  <c r="O1637" i="1" s="1"/>
  <c r="O1638" i="1" a="1"/>
  <c r="O1638" i="1" s="1"/>
  <c r="O1639" i="1" a="1"/>
  <c r="O1639" i="1" s="1"/>
  <c r="O1640" i="1" a="1"/>
  <c r="O1640" i="1" s="1"/>
  <c r="O1641" i="1" a="1"/>
  <c r="O1641" i="1" s="1"/>
  <c r="O1642" i="1" a="1"/>
  <c r="O1642" i="1" s="1"/>
  <c r="O1643" i="1" a="1"/>
  <c r="O1643" i="1" s="1"/>
  <c r="O1644" i="1" a="1"/>
  <c r="O1644" i="1" s="1"/>
  <c r="O1645" i="1" a="1"/>
  <c r="O1645" i="1" s="1"/>
  <c r="O1646" i="1" a="1"/>
  <c r="O1646" i="1" s="1"/>
  <c r="O1647" i="1" a="1"/>
  <c r="O1647" i="1" s="1"/>
  <c r="O1648" i="1" a="1"/>
  <c r="O1648" i="1" s="1"/>
  <c r="O1649" i="1" a="1"/>
  <c r="O1649" i="1"/>
  <c r="O1650" i="1" a="1"/>
  <c r="O1650" i="1" s="1"/>
  <c r="O1651" i="1" a="1"/>
  <c r="O1651" i="1" s="1"/>
  <c r="O1652" i="1" a="1"/>
  <c r="O1652" i="1" s="1"/>
  <c r="O1653" i="1" a="1"/>
  <c r="O1653" i="1" s="1"/>
  <c r="O1654" i="1" a="1"/>
  <c r="O1654" i="1" s="1"/>
  <c r="O1655" i="1" a="1"/>
  <c r="O1655" i="1" s="1"/>
  <c r="O1656" i="1" a="1"/>
  <c r="O1656" i="1" s="1"/>
  <c r="O1657" i="1" a="1"/>
  <c r="O1657" i="1" s="1"/>
  <c r="O1658" i="1" a="1"/>
  <c r="O1658" i="1" s="1"/>
  <c r="O1659" i="1" a="1"/>
  <c r="O1659" i="1" s="1"/>
  <c r="O1660" i="1" a="1"/>
  <c r="O1660" i="1" s="1"/>
  <c r="O1661" i="1" a="1"/>
  <c r="O1661" i="1" s="1"/>
  <c r="O1662" i="1" a="1"/>
  <c r="O1662" i="1" s="1"/>
  <c r="O1663" i="1" a="1"/>
  <c r="O1663" i="1" s="1"/>
  <c r="O1664" i="1" a="1"/>
  <c r="O1664" i="1" s="1"/>
  <c r="O1665" i="1" a="1"/>
  <c r="O1665" i="1" s="1"/>
  <c r="O1666" i="1" a="1"/>
  <c r="O1666" i="1"/>
  <c r="O1667" i="1" a="1"/>
  <c r="O1667" i="1"/>
  <c r="O1668" i="1" a="1"/>
  <c r="O1668" i="1" s="1"/>
  <c r="O1669" i="1" a="1"/>
  <c r="O1669" i="1" s="1"/>
  <c r="O1670" i="1" a="1"/>
  <c r="O1670" i="1" s="1"/>
  <c r="O1671" i="1" a="1"/>
  <c r="O1671" i="1" s="1"/>
  <c r="O1672" i="1" a="1"/>
  <c r="O1672" i="1" s="1"/>
  <c r="O1673" i="1" a="1"/>
  <c r="O1673" i="1" s="1"/>
  <c r="O1674" i="1" a="1"/>
  <c r="O1674" i="1" s="1"/>
  <c r="O1675" i="1" a="1"/>
  <c r="O1675" i="1" s="1"/>
  <c r="O1676" i="1" a="1"/>
  <c r="O1676" i="1" s="1"/>
  <c r="O1677" i="1" a="1"/>
  <c r="O1677" i="1" s="1"/>
  <c r="O1678" i="1" a="1"/>
  <c r="O1678" i="1" s="1"/>
  <c r="O1679" i="1" a="1"/>
  <c r="O1679" i="1" s="1"/>
  <c r="O1680" i="1" a="1"/>
  <c r="O1680" i="1" s="1"/>
  <c r="O1681" i="1" a="1"/>
  <c r="O1681" i="1" s="1"/>
  <c r="O1682" i="1" a="1"/>
  <c r="O1682" i="1" s="1"/>
  <c r="O1683" i="1" a="1"/>
  <c r="O1683" i="1" s="1"/>
  <c r="O1684" i="1" a="1"/>
  <c r="O1684" i="1" s="1"/>
  <c r="O1685" i="1" a="1"/>
  <c r="O1685" i="1" s="1"/>
  <c r="O1686" i="1" a="1"/>
  <c r="O1686" i="1" s="1"/>
  <c r="O1687" i="1" a="1"/>
  <c r="O1687" i="1" s="1"/>
  <c r="O1688" i="1" a="1"/>
  <c r="O1688" i="1" s="1"/>
  <c r="O1689" i="1" a="1"/>
  <c r="O1689" i="1" s="1"/>
  <c r="O1690" i="1" a="1"/>
  <c r="O1690" i="1" s="1"/>
  <c r="O1691" i="1" a="1"/>
  <c r="O1691" i="1" s="1"/>
  <c r="O1692" i="1" a="1"/>
  <c r="O1692" i="1" s="1"/>
  <c r="O1693" i="1" a="1"/>
  <c r="O1693" i="1" s="1"/>
  <c r="O1694" i="1" a="1"/>
  <c r="O1694" i="1" s="1"/>
  <c r="O1695" i="1" a="1"/>
  <c r="O1695" i="1" s="1"/>
  <c r="O1696" i="1" a="1"/>
  <c r="O1696" i="1" s="1"/>
  <c r="O1697" i="1" a="1"/>
  <c r="O1697" i="1" s="1"/>
  <c r="O1698" i="1" a="1"/>
  <c r="O1698" i="1" s="1"/>
  <c r="O1699" i="1" a="1"/>
  <c r="O1699" i="1" s="1"/>
  <c r="O1700" i="1" a="1"/>
  <c r="O1700" i="1" s="1"/>
  <c r="O1701" i="1" a="1"/>
  <c r="O1701" i="1" s="1"/>
  <c r="O1702" i="1" a="1"/>
  <c r="O1702" i="1" s="1"/>
  <c r="O1703" i="1" a="1"/>
  <c r="O1703" i="1"/>
  <c r="O1704" i="1" a="1"/>
  <c r="O1704" i="1" s="1"/>
  <c r="O1705" i="1" a="1"/>
  <c r="O1705" i="1" s="1"/>
  <c r="O1706" i="1" a="1"/>
  <c r="O1706" i="1" s="1"/>
  <c r="O1707" i="1" a="1"/>
  <c r="O1707" i="1" s="1"/>
  <c r="O1708" i="1" a="1"/>
  <c r="O1708" i="1" s="1"/>
  <c r="O1709" i="1" a="1"/>
  <c r="O1709" i="1" s="1"/>
  <c r="O1710" i="1" a="1"/>
  <c r="O1710" i="1" s="1"/>
  <c r="O1711" i="1" a="1"/>
  <c r="O1711" i="1" s="1"/>
  <c r="O1712" i="1" a="1"/>
  <c r="O1712" i="1" s="1"/>
  <c r="O1713" i="1" a="1"/>
  <c r="O1713" i="1" s="1"/>
  <c r="O1714" i="1" a="1"/>
  <c r="O1714" i="1" s="1"/>
  <c r="O1715" i="1" a="1"/>
  <c r="O1715" i="1" s="1"/>
  <c r="O1716" i="1" a="1"/>
  <c r="O1716" i="1" s="1"/>
  <c r="O1717" i="1" a="1"/>
  <c r="O1717" i="1" s="1"/>
  <c r="O1718" i="1" a="1"/>
  <c r="O1718" i="1" s="1"/>
  <c r="O1719" i="1" a="1"/>
  <c r="O1719" i="1" s="1"/>
  <c r="O1720" i="1" a="1"/>
  <c r="O1720" i="1"/>
  <c r="O1721" i="1" a="1"/>
  <c r="O1721" i="1"/>
  <c r="O1722" i="1" a="1"/>
  <c r="O1722" i="1" s="1"/>
  <c r="O1723" i="1" a="1"/>
  <c r="O1723" i="1" s="1"/>
  <c r="O1724" i="1" a="1"/>
  <c r="O1724" i="1" s="1"/>
  <c r="O1725" i="1" a="1"/>
  <c r="O1725" i="1" s="1"/>
  <c r="O1726" i="1" a="1"/>
  <c r="O1726" i="1" s="1"/>
  <c r="O1727" i="1" a="1"/>
  <c r="O1727" i="1" s="1"/>
  <c r="O1728" i="1" a="1"/>
  <c r="O1728" i="1" s="1"/>
  <c r="O1729" i="1" a="1"/>
  <c r="O1729" i="1" s="1"/>
  <c r="O1730" i="1" a="1"/>
  <c r="O1730" i="1" s="1"/>
  <c r="O1731" i="1" a="1"/>
  <c r="O1731" i="1" s="1"/>
  <c r="O1732" i="1" a="1"/>
  <c r="O1732" i="1" s="1"/>
  <c r="O1733" i="1" a="1"/>
  <c r="O1733" i="1" s="1"/>
  <c r="O1734" i="1" a="1"/>
  <c r="O1734" i="1" s="1"/>
  <c r="O1735" i="1" a="1"/>
  <c r="O1735" i="1" s="1"/>
  <c r="O1736" i="1" a="1"/>
  <c r="O1736" i="1" s="1"/>
  <c r="O1737" i="1" a="1"/>
  <c r="O1737" i="1" s="1"/>
  <c r="O1738" i="1" a="1"/>
  <c r="O1738" i="1" s="1"/>
  <c r="O1739" i="1" a="1"/>
  <c r="O1739" i="1" s="1"/>
  <c r="O1740" i="1" a="1"/>
  <c r="O1740" i="1" s="1"/>
  <c r="O1741" i="1" a="1"/>
  <c r="O1741" i="1" s="1"/>
  <c r="O1742" i="1" a="1"/>
  <c r="O1742" i="1" s="1"/>
  <c r="O1743" i="1" a="1"/>
  <c r="O1743" i="1" s="1"/>
  <c r="O1744" i="1" a="1"/>
  <c r="O1744" i="1" s="1"/>
  <c r="O1745" i="1" a="1"/>
  <c r="O1745" i="1" s="1"/>
  <c r="O1746" i="1" a="1"/>
  <c r="O1746" i="1" s="1"/>
  <c r="O1747" i="1" a="1"/>
  <c r="O1747" i="1" s="1"/>
  <c r="O1748" i="1" a="1"/>
  <c r="O1748" i="1" s="1"/>
  <c r="O1749" i="1" a="1"/>
  <c r="O1749" i="1" s="1"/>
  <c r="O1750" i="1" a="1"/>
  <c r="O1750" i="1" s="1"/>
  <c r="O1751" i="1" a="1"/>
  <c r="O1751" i="1" s="1"/>
  <c r="O1752" i="1" a="1"/>
  <c r="O1752" i="1" s="1"/>
  <c r="O1753" i="1" a="1"/>
  <c r="O1753" i="1" s="1"/>
  <c r="O1754" i="1" a="1"/>
  <c r="O1754" i="1" s="1"/>
  <c r="O1755" i="1" a="1"/>
  <c r="O1755" i="1" s="1"/>
  <c r="O1756" i="1" a="1"/>
  <c r="O1756" i="1" s="1"/>
  <c r="O1757" i="1" a="1"/>
  <c r="O1757" i="1"/>
  <c r="O1758" i="1" a="1"/>
  <c r="O1758" i="1" s="1"/>
  <c r="O1759" i="1" a="1"/>
  <c r="O1759" i="1" s="1"/>
  <c r="O1760" i="1" a="1"/>
  <c r="O1760" i="1" s="1"/>
  <c r="O1761" i="1" a="1"/>
  <c r="O1761" i="1" s="1"/>
  <c r="O1762" i="1" a="1"/>
  <c r="O1762" i="1" s="1"/>
  <c r="O1763" i="1" a="1"/>
  <c r="O1763" i="1" s="1"/>
  <c r="O1764" i="1" a="1"/>
  <c r="O1764" i="1" s="1"/>
  <c r="O1765" i="1" a="1"/>
  <c r="O1765" i="1" s="1"/>
  <c r="O1766" i="1" a="1"/>
  <c r="O1766" i="1" s="1"/>
  <c r="O1767" i="1" a="1"/>
  <c r="O1767" i="1" s="1"/>
  <c r="O1768" i="1" a="1"/>
  <c r="O1768" i="1" s="1"/>
  <c r="O1769" i="1" a="1"/>
  <c r="O1769" i="1" s="1"/>
  <c r="O1770" i="1" a="1"/>
  <c r="O1770" i="1" s="1"/>
  <c r="O1771" i="1" a="1"/>
  <c r="O1771" i="1" s="1"/>
  <c r="O1772" i="1" a="1"/>
  <c r="O1772" i="1" s="1"/>
  <c r="O1773" i="1" a="1"/>
  <c r="O1773" i="1" s="1"/>
  <c r="O1774" i="1" a="1"/>
  <c r="O1774" i="1" s="1"/>
  <c r="O1775" i="1" a="1"/>
  <c r="O1775" i="1"/>
  <c r="O1776" i="1" a="1"/>
  <c r="O1776" i="1" s="1"/>
  <c r="O1777" i="1" a="1"/>
  <c r="O1777" i="1" s="1"/>
  <c r="O1778" i="1" a="1"/>
  <c r="O1778" i="1" s="1"/>
  <c r="O1779" i="1" a="1"/>
  <c r="O1779" i="1" s="1"/>
  <c r="O1780" i="1" a="1"/>
  <c r="O1780" i="1" s="1"/>
  <c r="O1781" i="1" a="1"/>
  <c r="O1781" i="1" s="1"/>
  <c r="O1782" i="1" a="1"/>
  <c r="O1782" i="1" s="1"/>
  <c r="O1783" i="1" a="1"/>
  <c r="O1783" i="1" s="1"/>
  <c r="O1784" i="1" a="1"/>
  <c r="O1784" i="1" s="1"/>
  <c r="O1785" i="1" a="1"/>
  <c r="O1785" i="1" s="1"/>
  <c r="O1786" i="1" a="1"/>
  <c r="O1786" i="1" s="1"/>
  <c r="O1787" i="1" a="1"/>
  <c r="O1787" i="1" s="1"/>
  <c r="O1788" i="1" a="1"/>
  <c r="O1788" i="1" s="1"/>
  <c r="O1789" i="1" a="1"/>
  <c r="O1789" i="1" s="1"/>
  <c r="O1790" i="1" a="1"/>
  <c r="O1790" i="1" s="1"/>
  <c r="O1791" i="1" a="1"/>
  <c r="O1791" i="1" s="1"/>
  <c r="O1792" i="1" a="1"/>
  <c r="O1792" i="1" s="1"/>
  <c r="O1793" i="1" a="1"/>
  <c r="O1793" i="1" s="1"/>
  <c r="O1794" i="1" a="1"/>
  <c r="O1794" i="1" s="1"/>
  <c r="O1795" i="1" a="1"/>
  <c r="O1795" i="1" s="1"/>
  <c r="O1796" i="1" a="1"/>
  <c r="O1796" i="1" s="1"/>
  <c r="O1797" i="1" a="1"/>
  <c r="O1797" i="1" s="1"/>
  <c r="O1798" i="1" a="1"/>
  <c r="O1798" i="1" s="1"/>
  <c r="O1799" i="1" a="1"/>
  <c r="O1799" i="1" s="1"/>
  <c r="O1800" i="1" a="1"/>
  <c r="O1800" i="1" s="1"/>
  <c r="O1801" i="1" a="1"/>
  <c r="O1801" i="1" s="1"/>
  <c r="O1802" i="1" a="1"/>
  <c r="O1802" i="1" s="1"/>
  <c r="O1803" i="1" a="1"/>
  <c r="O1803" i="1" s="1"/>
  <c r="O1804" i="1" a="1"/>
  <c r="O1804" i="1" s="1"/>
  <c r="O1805" i="1" a="1"/>
  <c r="O1805" i="1" s="1"/>
  <c r="O1806" i="1" a="1"/>
  <c r="O1806" i="1" s="1"/>
  <c r="O1807" i="1" a="1"/>
  <c r="O1807" i="1" s="1"/>
  <c r="O1808" i="1" a="1"/>
  <c r="O1808" i="1" s="1"/>
  <c r="O1809" i="1" a="1"/>
  <c r="O1809" i="1" s="1"/>
  <c r="O1810" i="1" a="1"/>
  <c r="O1810" i="1" s="1"/>
  <c r="O1811" i="1" a="1"/>
  <c r="O1811" i="1"/>
  <c r="O1812" i="1" a="1"/>
  <c r="O1812" i="1" s="1"/>
  <c r="O1813" i="1" a="1"/>
  <c r="O1813" i="1" s="1"/>
  <c r="O1814" i="1" a="1"/>
  <c r="O1814" i="1" s="1"/>
  <c r="O1815" i="1" a="1"/>
  <c r="O1815" i="1" s="1"/>
  <c r="O1816" i="1" a="1"/>
  <c r="O1816" i="1" s="1"/>
  <c r="O1817" i="1" a="1"/>
  <c r="O1817" i="1" s="1"/>
  <c r="O1818" i="1" a="1"/>
  <c r="O1818" i="1" s="1"/>
  <c r="O1819" i="1" a="1"/>
  <c r="O1819" i="1" s="1"/>
  <c r="O1820" i="1" a="1"/>
  <c r="O1820" i="1" s="1"/>
  <c r="O1821" i="1" a="1"/>
  <c r="O1821" i="1" s="1"/>
  <c r="O1822" i="1" a="1"/>
  <c r="O1822" i="1" s="1"/>
  <c r="O1823" i="1" a="1"/>
  <c r="O1823" i="1" s="1"/>
  <c r="O1824" i="1" a="1"/>
  <c r="O1824" i="1" s="1"/>
  <c r="O1825" i="1" a="1"/>
  <c r="O1825" i="1" s="1"/>
  <c r="O1826" i="1" a="1"/>
  <c r="O1826" i="1" s="1"/>
  <c r="O1827" i="1" a="1"/>
  <c r="O1827" i="1" s="1"/>
  <c r="O1828" i="1" a="1"/>
  <c r="O1828" i="1" s="1"/>
  <c r="O1829" i="1" a="1"/>
  <c r="O1829" i="1"/>
  <c r="O1830" i="1" a="1"/>
  <c r="O1830" i="1" s="1"/>
  <c r="O1831" i="1" a="1"/>
  <c r="O1831" i="1" s="1"/>
  <c r="O1832" i="1" a="1"/>
  <c r="O1832" i="1" s="1"/>
  <c r="O1833" i="1" a="1"/>
  <c r="O1833" i="1" s="1"/>
  <c r="O1834" i="1" a="1"/>
  <c r="O1834" i="1" s="1"/>
  <c r="O1835" i="1" a="1"/>
  <c r="O1835" i="1" s="1"/>
  <c r="O1836" i="1" a="1"/>
  <c r="O1836" i="1" s="1"/>
  <c r="O1837" i="1" a="1"/>
  <c r="O1837" i="1" s="1"/>
  <c r="O1838" i="1" a="1"/>
  <c r="O1838" i="1" s="1"/>
  <c r="O1839" i="1" a="1"/>
  <c r="O1839" i="1" s="1"/>
  <c r="O1840" i="1" a="1"/>
  <c r="O1840" i="1" s="1"/>
  <c r="O1841" i="1" a="1"/>
  <c r="O1841" i="1" s="1"/>
  <c r="O1842" i="1" a="1"/>
  <c r="O1842" i="1" s="1"/>
  <c r="O1843" i="1" a="1"/>
  <c r="O1843" i="1" s="1"/>
  <c r="O1844" i="1" a="1"/>
  <c r="O1844" i="1" s="1"/>
  <c r="O1845" i="1" a="1"/>
  <c r="O1845" i="1" s="1"/>
  <c r="O1846" i="1" a="1"/>
  <c r="O1846" i="1" s="1"/>
  <c r="O1847" i="1" a="1"/>
  <c r="O1847" i="1" s="1"/>
  <c r="O1848" i="1" a="1"/>
  <c r="O1848" i="1" s="1"/>
  <c r="O1849" i="1" a="1"/>
  <c r="O1849" i="1" s="1"/>
  <c r="O1850" i="1" a="1"/>
  <c r="O1850" i="1" s="1"/>
  <c r="O1851" i="1" a="1"/>
  <c r="O1851" i="1" s="1"/>
  <c r="O1852" i="1" a="1"/>
  <c r="O1852" i="1" s="1"/>
  <c r="O1853" i="1" a="1"/>
  <c r="O1853" i="1" s="1"/>
  <c r="O1854" i="1" a="1"/>
  <c r="O1854" i="1" s="1"/>
  <c r="O1855" i="1" a="1"/>
  <c r="O1855" i="1" s="1"/>
  <c r="O1856" i="1" a="1"/>
  <c r="O1856" i="1" s="1"/>
  <c r="O1857" i="1" a="1"/>
  <c r="O1857" i="1" s="1"/>
  <c r="O1858" i="1" a="1"/>
  <c r="O1858" i="1" s="1"/>
  <c r="O1859" i="1" a="1"/>
  <c r="O1859" i="1" s="1"/>
  <c r="O1860" i="1" a="1"/>
  <c r="O1860" i="1" s="1"/>
  <c r="O1861" i="1" a="1"/>
  <c r="O1861" i="1" s="1"/>
  <c r="O1862" i="1" a="1"/>
  <c r="O1862" i="1" s="1"/>
  <c r="O1863" i="1" a="1"/>
  <c r="O1863" i="1" s="1"/>
  <c r="O1864" i="1" a="1"/>
  <c r="O1864" i="1" s="1"/>
  <c r="O1865" i="1" a="1"/>
  <c r="O1865" i="1"/>
  <c r="O1866" i="1" a="1"/>
  <c r="O1866" i="1" s="1"/>
  <c r="O1867" i="1" a="1"/>
  <c r="O1867" i="1" s="1"/>
  <c r="O1868" i="1" a="1"/>
  <c r="O1868" i="1" s="1"/>
  <c r="O1869" i="1" a="1"/>
  <c r="O1869" i="1" s="1"/>
  <c r="O1870" i="1" a="1"/>
  <c r="O1870" i="1" s="1"/>
  <c r="O1871" i="1" a="1"/>
  <c r="O1871" i="1" s="1"/>
  <c r="O1872" i="1" a="1"/>
  <c r="O1872" i="1" s="1"/>
  <c r="O1873" i="1" a="1"/>
  <c r="O1873" i="1" s="1"/>
  <c r="O1874" i="1" a="1"/>
  <c r="O1874" i="1" s="1"/>
  <c r="O1875" i="1" a="1"/>
  <c r="O1875" i="1" s="1"/>
  <c r="O1876" i="1" a="1"/>
  <c r="O1876" i="1" s="1"/>
  <c r="O1877" i="1" a="1"/>
  <c r="O1877" i="1" s="1"/>
  <c r="O1878" i="1" a="1"/>
  <c r="O1878" i="1" s="1"/>
  <c r="O1879" i="1" a="1"/>
  <c r="O1879" i="1" s="1"/>
  <c r="O1880" i="1" a="1"/>
  <c r="O1880" i="1" s="1"/>
  <c r="O1881" i="1" a="1"/>
  <c r="O1881" i="1" s="1"/>
  <c r="O1882" i="1" a="1"/>
  <c r="O1882" i="1" s="1"/>
  <c r="O1883" i="1" a="1"/>
  <c r="O1883" i="1"/>
  <c r="O1884" i="1" a="1"/>
  <c r="O1884" i="1" s="1"/>
  <c r="O1885" i="1" a="1"/>
  <c r="O1885" i="1" s="1"/>
  <c r="O1886" i="1" a="1"/>
  <c r="O1886" i="1" s="1"/>
  <c r="O1887" i="1" a="1"/>
  <c r="O1887" i="1" s="1"/>
  <c r="O1888" i="1" a="1"/>
  <c r="O1888" i="1" s="1"/>
  <c r="O1889" i="1" a="1"/>
  <c r="O1889" i="1" s="1"/>
  <c r="O1890" i="1" a="1"/>
  <c r="O1890" i="1" s="1"/>
  <c r="O1891" i="1" a="1"/>
  <c r="O1891" i="1" s="1"/>
  <c r="O1892" i="1" a="1"/>
  <c r="O1892" i="1" s="1"/>
  <c r="O1893" i="1" a="1"/>
  <c r="O1893" i="1" s="1"/>
  <c r="O1894" i="1" a="1"/>
  <c r="O1894" i="1" s="1"/>
  <c r="O1895" i="1" a="1"/>
  <c r="O1895" i="1" s="1"/>
  <c r="O1896" i="1" a="1"/>
  <c r="O1896" i="1" s="1"/>
  <c r="O1897" i="1" a="1"/>
  <c r="O1897" i="1" s="1"/>
  <c r="O1898" i="1" a="1"/>
  <c r="O1898" i="1" s="1"/>
  <c r="O1899" i="1" a="1"/>
  <c r="O1899" i="1" s="1"/>
  <c r="O1900" i="1" a="1"/>
  <c r="O1900" i="1" s="1"/>
  <c r="O1901" i="1" a="1"/>
  <c r="O1901" i="1" s="1"/>
  <c r="O1902" i="1" a="1"/>
  <c r="O1902" i="1" s="1"/>
  <c r="O1903" i="1" a="1"/>
  <c r="O1903" i="1" s="1"/>
  <c r="O1904" i="1" a="1"/>
  <c r="O1904" i="1" s="1"/>
  <c r="O1905" i="1" a="1"/>
  <c r="O1905" i="1" s="1"/>
  <c r="O1906" i="1" a="1"/>
  <c r="O1906" i="1" s="1"/>
  <c r="O1907" i="1" a="1"/>
  <c r="O1907" i="1" s="1"/>
  <c r="O1908" i="1" a="1"/>
  <c r="O1908" i="1" s="1"/>
  <c r="O1909" i="1" a="1"/>
  <c r="O1909" i="1" s="1"/>
  <c r="O1910" i="1" a="1"/>
  <c r="O1910" i="1" s="1"/>
  <c r="O1911" i="1" a="1"/>
  <c r="O1911" i="1" s="1"/>
  <c r="O1912" i="1" a="1"/>
  <c r="O1912" i="1" s="1"/>
  <c r="O1913" i="1" a="1"/>
  <c r="O1913" i="1" s="1"/>
  <c r="O1914" i="1" a="1"/>
  <c r="O1914" i="1" s="1"/>
  <c r="O1915" i="1" a="1"/>
  <c r="O1915" i="1" s="1"/>
  <c r="O1916" i="1" a="1"/>
  <c r="O1916" i="1" s="1"/>
  <c r="O1917" i="1" a="1"/>
  <c r="O1917" i="1" s="1"/>
  <c r="O1918" i="1" a="1"/>
  <c r="O1918" i="1" s="1"/>
  <c r="O1919" i="1" a="1"/>
  <c r="O1919" i="1"/>
  <c r="O1920" i="1" a="1"/>
  <c r="O1920" i="1" s="1"/>
  <c r="O1921" i="1" a="1"/>
  <c r="O1921" i="1" s="1"/>
  <c r="O1922" i="1" a="1"/>
  <c r="O1922" i="1" s="1"/>
  <c r="O1923" i="1" a="1"/>
  <c r="O1923" i="1" s="1"/>
  <c r="O1924" i="1" a="1"/>
  <c r="O1924" i="1" s="1"/>
  <c r="O1925" i="1" a="1"/>
  <c r="O1925" i="1" s="1"/>
  <c r="O1926" i="1" a="1"/>
  <c r="O1926" i="1" s="1"/>
  <c r="O1927" i="1" a="1"/>
  <c r="O1927" i="1" s="1"/>
  <c r="O1928" i="1" a="1"/>
  <c r="O1928" i="1" s="1"/>
  <c r="O1929" i="1" a="1"/>
  <c r="O1929" i="1" s="1"/>
  <c r="O1930" i="1" a="1"/>
  <c r="O1930" i="1" s="1"/>
  <c r="O1931" i="1" a="1"/>
  <c r="O1931" i="1" s="1"/>
  <c r="O1932" i="1" a="1"/>
  <c r="O1932" i="1" s="1"/>
  <c r="O1933" i="1" a="1"/>
  <c r="O1933" i="1" s="1"/>
  <c r="O1934" i="1" a="1"/>
  <c r="O1934" i="1" s="1"/>
  <c r="O1935" i="1" a="1"/>
  <c r="O1935" i="1" s="1"/>
  <c r="O1936" i="1" a="1"/>
  <c r="O1936" i="1" s="1"/>
  <c r="O1937" i="1" a="1"/>
  <c r="O1937" i="1" s="1"/>
  <c r="O1938" i="1" a="1"/>
  <c r="O1938" i="1" s="1"/>
  <c r="O1939" i="1" a="1"/>
  <c r="O1939" i="1" s="1"/>
  <c r="O1940" i="1" a="1"/>
  <c r="O1940" i="1" s="1"/>
  <c r="O1941" i="1" a="1"/>
  <c r="O1941" i="1" s="1"/>
  <c r="O1942" i="1" a="1"/>
  <c r="O1942" i="1" s="1"/>
  <c r="O1943" i="1" a="1"/>
  <c r="O1943" i="1" s="1"/>
  <c r="O1944" i="1" a="1"/>
  <c r="O1944" i="1" s="1"/>
  <c r="O1945" i="1" a="1"/>
  <c r="O1945" i="1" s="1"/>
  <c r="O1946" i="1" a="1"/>
  <c r="O1946" i="1" s="1"/>
  <c r="O1947" i="1" a="1"/>
  <c r="O1947" i="1" s="1"/>
  <c r="O1948" i="1" a="1"/>
  <c r="O1948" i="1"/>
  <c r="O1949" i="1" a="1"/>
  <c r="O1949" i="1"/>
  <c r="O1950" i="1" a="1"/>
  <c r="O1950" i="1"/>
  <c r="O1951" i="1" a="1"/>
  <c r="O1951" i="1" s="1"/>
  <c r="O1952" i="1" a="1"/>
  <c r="O1952" i="1" s="1"/>
  <c r="O1953" i="1" a="1"/>
  <c r="O1953" i="1" s="1"/>
  <c r="O1954" i="1" a="1"/>
  <c r="O1954" i="1"/>
  <c r="O1955" i="1" a="1"/>
  <c r="O1955" i="1"/>
  <c r="O1956" i="1" a="1"/>
  <c r="O1956" i="1"/>
  <c r="O1957" i="1" a="1"/>
  <c r="O1957" i="1"/>
  <c r="O1958" i="1" a="1"/>
  <c r="O1958" i="1"/>
  <c r="O1959" i="1" a="1"/>
  <c r="O1959" i="1" s="1"/>
  <c r="O1960" i="1" a="1"/>
  <c r="O1960" i="1" s="1"/>
  <c r="O1961" i="1" a="1"/>
  <c r="O1961" i="1" s="1"/>
  <c r="O1962" i="1" a="1"/>
  <c r="O1962" i="1" s="1"/>
  <c r="O1963" i="1" a="1"/>
  <c r="O1963" i="1" s="1"/>
  <c r="O1964" i="1" a="1"/>
  <c r="O1964" i="1" s="1"/>
  <c r="O1965" i="1" a="1"/>
  <c r="O1965" i="1" s="1"/>
  <c r="O1966" i="1" a="1"/>
  <c r="O1966" i="1"/>
  <c r="O1967" i="1" a="1"/>
  <c r="O1967" i="1"/>
  <c r="O1968" i="1" a="1"/>
  <c r="O1968" i="1"/>
  <c r="O1969" i="1" a="1"/>
  <c r="O1969" i="1"/>
  <c r="O1970" i="1" a="1"/>
  <c r="O1970" i="1"/>
  <c r="O1971" i="1" a="1"/>
  <c r="O1971" i="1" s="1"/>
  <c r="O1972" i="1" a="1"/>
  <c r="O1972" i="1" s="1"/>
  <c r="O1973" i="1" a="1"/>
  <c r="O1973" i="1" s="1"/>
  <c r="O1974" i="1" a="1"/>
  <c r="O1974" i="1" s="1"/>
  <c r="O1975" i="1" a="1"/>
  <c r="O1975" i="1" s="1"/>
  <c r="O1976" i="1" a="1"/>
  <c r="O1976" i="1" s="1"/>
  <c r="O1977" i="1" a="1"/>
  <c r="O1977" i="1" s="1"/>
  <c r="O1978" i="1" a="1"/>
  <c r="O1978" i="1"/>
  <c r="O1979" i="1" a="1"/>
  <c r="O1979" i="1" s="1"/>
  <c r="O1980" i="1" a="1"/>
  <c r="O1980" i="1" s="1"/>
  <c r="O1981" i="1" a="1"/>
  <c r="O1981" i="1"/>
  <c r="O1982" i="1" a="1"/>
  <c r="O1982" i="1"/>
  <c r="O1983" i="1" a="1"/>
  <c r="O1983" i="1" s="1"/>
  <c r="O1984" i="1" a="1"/>
  <c r="O1984" i="1" s="1"/>
  <c r="O1985" i="1" a="1"/>
  <c r="O1985" i="1" s="1"/>
  <c r="O1986" i="1" a="1"/>
  <c r="O1986" i="1" s="1"/>
  <c r="O1987" i="1" a="1"/>
  <c r="O1987" i="1" s="1"/>
  <c r="O1988" i="1" a="1"/>
  <c r="O1988" i="1" s="1"/>
  <c r="O1989" i="1" a="1"/>
  <c r="O1989" i="1" s="1"/>
  <c r="O1990" i="1" a="1"/>
  <c r="O1990" i="1"/>
  <c r="O1991" i="1" a="1"/>
  <c r="O1991" i="1"/>
  <c r="O1992" i="1" a="1"/>
  <c r="O1992" i="1"/>
  <c r="O1993" i="1" a="1"/>
  <c r="O1993" i="1"/>
  <c r="O1994" i="1" a="1"/>
  <c r="O1994" i="1"/>
  <c r="O1995" i="1" a="1"/>
  <c r="O1995" i="1" s="1"/>
  <c r="O1996" i="1" a="1"/>
  <c r="O1996" i="1" s="1"/>
  <c r="O1997" i="1" a="1"/>
  <c r="O1997" i="1" s="1"/>
  <c r="O1998" i="1" a="1"/>
  <c r="O1998" i="1" s="1"/>
  <c r="O1999" i="1" a="1"/>
  <c r="O1999" i="1" s="1"/>
  <c r="O2000" i="1" a="1"/>
  <c r="O2000" i="1" s="1"/>
  <c r="O2001" i="1" a="1"/>
  <c r="O2001" i="1" s="1"/>
  <c r="O2002" i="1" a="1"/>
  <c r="O2002" i="1"/>
  <c r="O2003" i="1" a="1"/>
  <c r="O2003" i="1"/>
  <c r="O2004" i="1" a="1"/>
  <c r="O2004" i="1"/>
  <c r="O2005" i="1" a="1"/>
  <c r="O2005" i="1" s="1"/>
  <c r="O2006" i="1" a="1"/>
  <c r="O2006" i="1" s="1"/>
  <c r="O2007" i="1" a="1"/>
  <c r="O2007" i="1" s="1"/>
  <c r="O2008" i="1" a="1"/>
  <c r="O2008" i="1" s="1"/>
  <c r="O2009" i="1" a="1"/>
  <c r="O2009" i="1" s="1"/>
  <c r="O2010" i="1" a="1"/>
  <c r="O2010" i="1" s="1"/>
  <c r="O2011" i="1" a="1"/>
  <c r="O2011" i="1" s="1"/>
  <c r="O2012" i="1" a="1"/>
  <c r="O2012" i="1" s="1"/>
  <c r="O2013" i="1" a="1"/>
  <c r="O2013" i="1" s="1"/>
  <c r="O2014" i="1" a="1"/>
  <c r="O2014" i="1" s="1"/>
  <c r="O2015" i="1" a="1"/>
  <c r="O2015" i="1" s="1"/>
  <c r="O2016" i="1" a="1"/>
  <c r="O2016" i="1" s="1"/>
  <c r="O2017" i="1" a="1"/>
  <c r="O2017" i="1" s="1"/>
  <c r="O2018" i="1" a="1"/>
  <c r="O2018" i="1" s="1"/>
  <c r="O2019" i="1" a="1"/>
  <c r="O2019" i="1" s="1"/>
  <c r="O2020" i="1" a="1"/>
  <c r="O2020" i="1" s="1"/>
  <c r="O2021" i="1" a="1"/>
  <c r="O2021" i="1" s="1"/>
  <c r="O2022" i="1" a="1"/>
  <c r="O2022" i="1" s="1"/>
  <c r="O2023" i="1" a="1"/>
  <c r="O2023" i="1" s="1"/>
  <c r="O2024" i="1" a="1"/>
  <c r="O2024" i="1" s="1"/>
  <c r="O2025" i="1" a="1"/>
  <c r="O2025" i="1" s="1"/>
  <c r="O2026" i="1" a="1"/>
  <c r="O2026" i="1" s="1"/>
  <c r="O2027" i="1" a="1"/>
  <c r="O2027" i="1" s="1"/>
  <c r="O2028" i="1" a="1"/>
  <c r="O2028" i="1" s="1"/>
  <c r="O2029" i="1" a="1"/>
  <c r="O2029" i="1" s="1"/>
  <c r="O2030" i="1" a="1"/>
  <c r="O2030" i="1" s="1"/>
  <c r="O2031" i="1" a="1"/>
  <c r="O2031" i="1" s="1"/>
  <c r="O2032" i="1" a="1"/>
  <c r="O2032" i="1" s="1"/>
  <c r="O2033" i="1" a="1"/>
  <c r="O2033" i="1" s="1"/>
  <c r="O2034" i="1" a="1"/>
  <c r="O2034" i="1" s="1"/>
  <c r="O2035" i="1" a="1"/>
  <c r="O2035" i="1" s="1"/>
  <c r="O2036" i="1" a="1"/>
  <c r="O2036" i="1" s="1"/>
  <c r="O2037" i="1" a="1"/>
  <c r="O2037" i="1" s="1"/>
  <c r="O2038" i="1" a="1"/>
  <c r="O2038" i="1" s="1"/>
  <c r="O2039" i="1" a="1"/>
  <c r="O2039" i="1" s="1"/>
  <c r="O2040" i="1" a="1"/>
  <c r="O2040" i="1" s="1"/>
  <c r="O2041" i="1" a="1"/>
  <c r="O2041" i="1" s="1"/>
  <c r="O2042" i="1" a="1"/>
  <c r="O2042" i="1" s="1"/>
  <c r="O2043" i="1" a="1"/>
  <c r="O2043" i="1" s="1"/>
  <c r="O2044" i="1" a="1"/>
  <c r="O2044" i="1" s="1"/>
  <c r="O2045" i="1" a="1"/>
  <c r="O2045" i="1" s="1"/>
  <c r="O2046" i="1" a="1"/>
  <c r="O2046" i="1" s="1"/>
  <c r="O2047" i="1" a="1"/>
  <c r="O2047" i="1" s="1"/>
  <c r="O2048" i="1" a="1"/>
  <c r="O2048" i="1" s="1"/>
  <c r="O2049" i="1" a="1"/>
  <c r="O2049" i="1" s="1"/>
  <c r="O2050" i="1" a="1"/>
  <c r="O2050" i="1" s="1"/>
  <c r="O2051" i="1" a="1"/>
  <c r="O2051" i="1" s="1"/>
  <c r="O2052" i="1" a="1"/>
  <c r="O2052" i="1" s="1"/>
  <c r="O2053" i="1" a="1"/>
  <c r="O2053" i="1" s="1"/>
  <c r="O2054" i="1" a="1"/>
  <c r="O2054" i="1" s="1"/>
  <c r="O2055" i="1" a="1"/>
  <c r="O2055" i="1" s="1"/>
  <c r="O2056" i="1" a="1"/>
  <c r="O2056" i="1" s="1"/>
  <c r="O2057" i="1" a="1"/>
  <c r="O2057" i="1" s="1"/>
  <c r="O2058" i="1" a="1"/>
  <c r="O2058" i="1" s="1"/>
  <c r="O2059" i="1" a="1"/>
  <c r="O2059" i="1" s="1"/>
  <c r="O2060" i="1" a="1"/>
  <c r="O2060" i="1" s="1"/>
  <c r="O2061" i="1" a="1"/>
  <c r="O2061" i="1" s="1"/>
  <c r="O2062" i="1" a="1"/>
  <c r="O2062" i="1" s="1"/>
  <c r="O2063" i="1" a="1"/>
  <c r="O2063" i="1" s="1"/>
  <c r="O2064" i="1" a="1"/>
  <c r="O2064" i="1" s="1"/>
  <c r="O2065" i="1" a="1"/>
  <c r="O2065" i="1" s="1"/>
  <c r="O2066" i="1" a="1"/>
  <c r="O2066" i="1" s="1"/>
  <c r="O2067" i="1" a="1"/>
  <c r="O2067" i="1" s="1"/>
  <c r="O2068" i="1" a="1"/>
  <c r="O2068" i="1" s="1"/>
  <c r="O2069" i="1" a="1"/>
  <c r="O2069" i="1" s="1"/>
  <c r="O2070" i="1" a="1"/>
  <c r="O2070" i="1" s="1"/>
  <c r="O2071" i="1" a="1"/>
  <c r="O2071" i="1" s="1"/>
  <c r="O2072" i="1" a="1"/>
  <c r="O2072" i="1" s="1"/>
  <c r="O2073" i="1" a="1"/>
  <c r="O2073" i="1" s="1"/>
  <c r="O2074" i="1" a="1"/>
  <c r="O2074" i="1" s="1"/>
  <c r="O2075" i="1" a="1"/>
  <c r="O2075" i="1" s="1"/>
  <c r="O2076" i="1" a="1"/>
  <c r="O2076" i="1" s="1"/>
  <c r="O2077" i="1" a="1"/>
  <c r="O2077" i="1" s="1"/>
  <c r="O2078" i="1" a="1"/>
  <c r="O2078" i="1" s="1"/>
  <c r="O2079" i="1" a="1"/>
  <c r="O2079" i="1" s="1"/>
  <c r="O2080" i="1" a="1"/>
  <c r="O2080" i="1" s="1"/>
  <c r="O2081" i="1" a="1"/>
  <c r="O2081" i="1" s="1"/>
  <c r="O2082" i="1" a="1"/>
  <c r="O2082" i="1" s="1"/>
  <c r="O2083" i="1" a="1"/>
  <c r="O2083" i="1" s="1"/>
  <c r="O2084" i="1" a="1"/>
  <c r="O2084" i="1" s="1"/>
  <c r="O2085" i="1" a="1"/>
  <c r="O2085" i="1" s="1"/>
  <c r="O2086" i="1" a="1"/>
  <c r="O2086" i="1" s="1"/>
  <c r="O2087" i="1" a="1"/>
  <c r="O2087" i="1" s="1"/>
  <c r="O2088" i="1" a="1"/>
  <c r="O2088" i="1" s="1"/>
  <c r="O2089" i="1" a="1"/>
  <c r="O2089" i="1" s="1"/>
  <c r="O2090" i="1" a="1"/>
  <c r="O2090" i="1" s="1"/>
  <c r="O2091" i="1" a="1"/>
  <c r="O2091" i="1" s="1"/>
  <c r="O2092" i="1" a="1"/>
  <c r="O2092" i="1" s="1"/>
  <c r="O2093" i="1" a="1"/>
  <c r="O2093" i="1" s="1"/>
  <c r="O2094" i="1" a="1"/>
  <c r="O2094" i="1" s="1"/>
  <c r="O2095" i="1" a="1"/>
  <c r="O2095" i="1" s="1"/>
  <c r="O2096" i="1" a="1"/>
  <c r="O2096" i="1" s="1"/>
  <c r="O2097" i="1" a="1"/>
  <c r="O2097" i="1" s="1"/>
  <c r="O2098" i="1" a="1"/>
  <c r="O2098" i="1" s="1"/>
  <c r="O2099" i="1" a="1"/>
  <c r="O2099" i="1" s="1"/>
  <c r="O2100" i="1" a="1"/>
  <c r="O2100" i="1" s="1"/>
  <c r="O2101" i="1" a="1"/>
  <c r="O2101" i="1" s="1"/>
  <c r="O2102" i="1" a="1"/>
  <c r="O2102" i="1" s="1"/>
  <c r="O2103" i="1" a="1"/>
  <c r="O2103" i="1" s="1"/>
  <c r="O2104" i="1" a="1"/>
  <c r="O2104" i="1" s="1"/>
  <c r="O2105" i="1" a="1"/>
  <c r="O2105" i="1" s="1"/>
  <c r="O2106" i="1" a="1"/>
  <c r="O2106" i="1" s="1"/>
  <c r="O2107" i="1" a="1"/>
  <c r="O2107" i="1" s="1"/>
  <c r="O2108" i="1" a="1"/>
  <c r="O2108" i="1" s="1"/>
  <c r="O2109" i="1" a="1"/>
  <c r="O2109" i="1" s="1"/>
  <c r="O2110" i="1" a="1"/>
  <c r="O2110" i="1" s="1"/>
  <c r="O2111" i="1" a="1"/>
  <c r="O2111" i="1" s="1"/>
  <c r="O2112" i="1" a="1"/>
  <c r="O2112" i="1" s="1"/>
  <c r="O2113" i="1" a="1"/>
  <c r="O2113" i="1" s="1"/>
  <c r="O2114" i="1" a="1"/>
  <c r="O2114" i="1" s="1"/>
  <c r="O2115" i="1" a="1"/>
  <c r="O2115" i="1" s="1"/>
  <c r="O2116" i="1" a="1"/>
  <c r="O2116" i="1" s="1"/>
  <c r="O2117" i="1" a="1"/>
  <c r="O2117" i="1" s="1"/>
  <c r="O2118" i="1" a="1"/>
  <c r="O2118" i="1" s="1"/>
  <c r="O2119" i="1" a="1"/>
  <c r="O2119" i="1" s="1"/>
  <c r="O2120" i="1" a="1"/>
  <c r="O2120" i="1" s="1"/>
  <c r="O2121" i="1" a="1"/>
  <c r="O2121" i="1" s="1"/>
  <c r="O2122" i="1" a="1"/>
  <c r="O2122" i="1" s="1"/>
  <c r="O2123" i="1" a="1"/>
  <c r="O2123" i="1" s="1"/>
  <c r="O2124" i="1" a="1"/>
  <c r="O2124" i="1" s="1"/>
  <c r="O2125" i="1" a="1"/>
  <c r="O2125" i="1" s="1"/>
  <c r="O2126" i="1" a="1"/>
  <c r="O2126" i="1" s="1"/>
  <c r="O2127" i="1" a="1"/>
  <c r="O2127" i="1" s="1"/>
  <c r="O2128" i="1" a="1"/>
  <c r="O2128" i="1" s="1"/>
  <c r="O2129" i="1" a="1"/>
  <c r="O2129" i="1" s="1"/>
  <c r="O2130" i="1" a="1"/>
  <c r="O2130" i="1" s="1"/>
  <c r="O2131" i="1" a="1"/>
  <c r="O2131" i="1" s="1"/>
  <c r="O2132" i="1" a="1"/>
  <c r="O2132" i="1" s="1"/>
  <c r="O2133" i="1" a="1"/>
  <c r="O2133" i="1" s="1"/>
  <c r="O2134" i="1" a="1"/>
  <c r="O2134" i="1" s="1"/>
  <c r="O2135" i="1" a="1"/>
  <c r="O2135" i="1" s="1"/>
  <c r="O2136" i="1" a="1"/>
  <c r="O2136" i="1" s="1"/>
  <c r="O2137" i="1" a="1"/>
  <c r="O2137" i="1" s="1"/>
  <c r="O2138" i="1" a="1"/>
  <c r="O2138" i="1" s="1"/>
  <c r="O2139" i="1" a="1"/>
  <c r="O2139" i="1" s="1"/>
  <c r="O2140" i="1" a="1"/>
  <c r="O2140" i="1" s="1"/>
  <c r="O2141" i="1" a="1"/>
  <c r="O2141" i="1" s="1"/>
  <c r="O2142" i="1" a="1"/>
  <c r="O2142" i="1" s="1"/>
  <c r="O2143" i="1" a="1"/>
  <c r="O2143" i="1" s="1"/>
  <c r="O2144" i="1" a="1"/>
  <c r="O2144" i="1" s="1"/>
  <c r="O2145" i="1" a="1"/>
  <c r="O2145" i="1" s="1"/>
  <c r="O2146" i="1" a="1"/>
  <c r="O2146" i="1" s="1"/>
  <c r="O2147" i="1" a="1"/>
  <c r="O2147" i="1" s="1"/>
  <c r="O2148" i="1" a="1"/>
  <c r="O2148" i="1" s="1"/>
  <c r="O2149" i="1" a="1"/>
  <c r="O2149" i="1" s="1"/>
  <c r="O2150" i="1" a="1"/>
  <c r="O2150" i="1" s="1"/>
  <c r="O2151" i="1" a="1"/>
  <c r="O2151" i="1" s="1"/>
  <c r="O2152" i="1" a="1"/>
  <c r="O2152" i="1" s="1"/>
  <c r="O2153" i="1" a="1"/>
  <c r="O2153" i="1" s="1"/>
  <c r="O2154" i="1" a="1"/>
  <c r="O2154" i="1" s="1"/>
  <c r="O2155" i="1" a="1"/>
  <c r="O2155" i="1" s="1"/>
  <c r="O2156" i="1" a="1"/>
  <c r="O2156" i="1" s="1"/>
  <c r="O2157" i="1" a="1"/>
  <c r="O2157" i="1" s="1"/>
  <c r="O2158" i="1" a="1"/>
  <c r="O2158" i="1" s="1"/>
  <c r="O2159" i="1" a="1"/>
  <c r="O2159" i="1" s="1"/>
  <c r="O2160" i="1" a="1"/>
  <c r="O2160" i="1" s="1"/>
  <c r="O2161" i="1" a="1"/>
  <c r="O2161" i="1" s="1"/>
  <c r="O2162" i="1" a="1"/>
  <c r="O2162" i="1" s="1"/>
  <c r="O2163" i="1" a="1"/>
  <c r="O2163" i="1" s="1"/>
  <c r="O2164" i="1" a="1"/>
  <c r="O2164" i="1" s="1"/>
  <c r="O2165" i="1" a="1"/>
  <c r="O2165" i="1" s="1"/>
  <c r="O2166" i="1" a="1"/>
  <c r="O2166" i="1" s="1"/>
  <c r="O2167" i="1" a="1"/>
  <c r="O2167" i="1" s="1"/>
  <c r="O2168" i="1" a="1"/>
  <c r="O2168" i="1" s="1"/>
  <c r="O2169" i="1" a="1"/>
  <c r="O2169" i="1" s="1"/>
  <c r="O2170" i="1" a="1"/>
  <c r="O2170" i="1" s="1"/>
  <c r="O2171" i="1" a="1"/>
  <c r="O2171" i="1" s="1"/>
  <c r="O2172" i="1" a="1"/>
  <c r="O2172" i="1" s="1"/>
  <c r="O2173" i="1" a="1"/>
  <c r="O2173" i="1" s="1"/>
  <c r="O2174" i="1" a="1"/>
  <c r="O2174" i="1" s="1"/>
  <c r="O2175" i="1" a="1"/>
  <c r="O2175" i="1" s="1"/>
  <c r="O2176" i="1" a="1"/>
  <c r="O2176" i="1" s="1"/>
  <c r="O2177" i="1" a="1"/>
  <c r="O2177" i="1" s="1"/>
  <c r="O2178" i="1" a="1"/>
  <c r="O2178" i="1" s="1"/>
  <c r="O2179" i="1" a="1"/>
  <c r="O2179" i="1" s="1"/>
  <c r="O2180" i="1" a="1"/>
  <c r="O2180" i="1" s="1"/>
  <c r="O2181" i="1" a="1"/>
  <c r="O2181" i="1" s="1"/>
  <c r="O2182" i="1" a="1"/>
  <c r="O2182" i="1" s="1"/>
  <c r="O2183" i="1" a="1"/>
  <c r="O2183" i="1" s="1"/>
  <c r="O2184" i="1" a="1"/>
  <c r="O2184" i="1" s="1"/>
  <c r="O2185" i="1" a="1"/>
  <c r="O2185" i="1" s="1"/>
  <c r="O2186" i="1" a="1"/>
  <c r="O2186" i="1" s="1"/>
  <c r="O2187" i="1" a="1"/>
  <c r="O2187" i="1" s="1"/>
  <c r="O2188" i="1" a="1"/>
  <c r="O2188" i="1" s="1"/>
  <c r="O2189" i="1" a="1"/>
  <c r="O2189" i="1" s="1"/>
  <c r="O2190" i="1" a="1"/>
  <c r="O2190" i="1" s="1"/>
  <c r="O2191" i="1" a="1"/>
  <c r="O2191" i="1" s="1"/>
  <c r="O2192" i="1" a="1"/>
  <c r="O2192" i="1" s="1"/>
  <c r="O2193" i="1" a="1"/>
  <c r="O2193" i="1" s="1"/>
  <c r="O2194" i="1" a="1"/>
  <c r="O2194" i="1" s="1"/>
  <c r="O2195" i="1" a="1"/>
  <c r="O2195" i="1" s="1"/>
  <c r="O2196" i="1" a="1"/>
  <c r="O2196" i="1" s="1"/>
  <c r="O2197" i="1" a="1"/>
  <c r="O2197" i="1" s="1"/>
  <c r="O2198" i="1" a="1"/>
  <c r="O2198" i="1" s="1"/>
  <c r="O2199" i="1" a="1"/>
  <c r="O2199" i="1" s="1"/>
  <c r="O2200" i="1" a="1"/>
  <c r="O2200" i="1" s="1"/>
  <c r="O2201" i="1" a="1"/>
  <c r="O2201" i="1" s="1"/>
  <c r="O2202" i="1" a="1"/>
  <c r="O2202" i="1" s="1"/>
  <c r="O2203" i="1" a="1"/>
  <c r="O2203" i="1" s="1"/>
  <c r="O2204" i="1" a="1"/>
  <c r="O2204" i="1" s="1"/>
  <c r="O2205" i="1" a="1"/>
  <c r="O2205" i="1" s="1"/>
  <c r="O2206" i="1" a="1"/>
  <c r="O2206" i="1" s="1"/>
  <c r="O2207" i="1" a="1"/>
  <c r="O2207" i="1" s="1"/>
  <c r="O2208" i="1" a="1"/>
  <c r="O2208" i="1" s="1"/>
  <c r="O2209" i="1" a="1"/>
  <c r="O2209" i="1" s="1"/>
  <c r="O2210" i="1" a="1"/>
  <c r="O2210" i="1" s="1"/>
  <c r="O2211" i="1" a="1"/>
  <c r="O2211" i="1" s="1"/>
  <c r="O2212" i="1" a="1"/>
  <c r="O2212" i="1" s="1"/>
  <c r="O2213" i="1" a="1"/>
  <c r="O2213" i="1" s="1"/>
  <c r="O2214" i="1" a="1"/>
  <c r="O2214" i="1" s="1"/>
  <c r="O2215" i="1" a="1"/>
  <c r="O2215" i="1" s="1"/>
  <c r="O2216" i="1" a="1"/>
  <c r="O2216" i="1" s="1"/>
  <c r="O2217" i="1" a="1"/>
  <c r="O2217" i="1" s="1"/>
  <c r="O2218" i="1" a="1"/>
  <c r="O2218" i="1" s="1"/>
  <c r="O2219" i="1" a="1"/>
  <c r="O2219" i="1" s="1"/>
  <c r="O2220" i="1" a="1"/>
  <c r="O2220" i="1" s="1"/>
  <c r="O2221" i="1" a="1"/>
  <c r="O2221" i="1" s="1"/>
  <c r="O2222" i="1" a="1"/>
  <c r="O2222" i="1" s="1"/>
  <c r="O2223" i="1" a="1"/>
  <c r="O2223" i="1" s="1"/>
  <c r="O2224" i="1" a="1"/>
  <c r="O2224" i="1" s="1"/>
  <c r="O2225" i="1" a="1"/>
  <c r="O2225" i="1" s="1"/>
  <c r="O2226" i="1" a="1"/>
  <c r="O2226" i="1" s="1"/>
  <c r="O2227" i="1" a="1"/>
  <c r="O2227" i="1" s="1"/>
  <c r="O2228" i="1" a="1"/>
  <c r="O2228" i="1" s="1"/>
  <c r="O2229" i="1" a="1"/>
  <c r="O2229" i="1" s="1"/>
  <c r="O2230" i="1" a="1"/>
  <c r="O2230" i="1" s="1"/>
  <c r="O2231" i="1" a="1"/>
  <c r="O2231" i="1" s="1"/>
  <c r="O2232" i="1" a="1"/>
  <c r="O2232" i="1" s="1"/>
  <c r="O2233" i="1" a="1"/>
  <c r="O2233" i="1" s="1"/>
  <c r="O2234" i="1" a="1"/>
  <c r="O2234" i="1" s="1"/>
  <c r="O2235" i="1" a="1"/>
  <c r="O2235" i="1" s="1"/>
  <c r="O2236" i="1" a="1"/>
  <c r="O2236" i="1" s="1"/>
  <c r="O2237" i="1" a="1"/>
  <c r="O2237" i="1" s="1"/>
  <c r="O2238" i="1" a="1"/>
  <c r="O2238" i="1" s="1"/>
  <c r="O2239" i="1" a="1"/>
  <c r="O2239" i="1" s="1"/>
  <c r="O2240" i="1" a="1"/>
  <c r="O2240" i="1" s="1"/>
  <c r="O2241" i="1" a="1"/>
  <c r="O2241" i="1" s="1"/>
  <c r="O2242" i="1" a="1"/>
  <c r="O2242" i="1" s="1"/>
  <c r="O2243" i="1" a="1"/>
  <c r="O2243" i="1" s="1"/>
  <c r="O2244" i="1" a="1"/>
  <c r="O2244" i="1" s="1"/>
  <c r="O2245" i="1" a="1"/>
  <c r="O2245" i="1" s="1"/>
  <c r="O2246" i="1" a="1"/>
  <c r="O2246" i="1" s="1"/>
  <c r="O2247" i="1" a="1"/>
  <c r="O2247" i="1" s="1"/>
  <c r="O2248" i="1" a="1"/>
  <c r="O2248" i="1" s="1"/>
  <c r="O2249" i="1" a="1"/>
  <c r="O2249" i="1" s="1"/>
  <c r="O2250" i="1" a="1"/>
  <c r="O2250" i="1" s="1"/>
  <c r="O2251" i="1" a="1"/>
  <c r="O2251" i="1" s="1"/>
  <c r="O2252" i="1" a="1"/>
  <c r="O2252" i="1" s="1"/>
  <c r="O2253" i="1" a="1"/>
  <c r="O2253" i="1" s="1"/>
  <c r="O2254" i="1" a="1"/>
  <c r="O2254" i="1" s="1"/>
  <c r="O2255" i="1" a="1"/>
  <c r="O2255" i="1" s="1"/>
  <c r="O2256" i="1" a="1"/>
  <c r="O2256" i="1" s="1"/>
  <c r="O2257" i="1" a="1"/>
  <c r="O2257" i="1" s="1"/>
  <c r="O2258" i="1" a="1"/>
  <c r="O2258" i="1" s="1"/>
  <c r="O2259" i="1" a="1"/>
  <c r="O2259" i="1" s="1"/>
  <c r="O2260" i="1" a="1"/>
  <c r="O2260" i="1" s="1"/>
  <c r="O2261" i="1" a="1"/>
  <c r="O2261" i="1" s="1"/>
  <c r="O2262" i="1" a="1"/>
  <c r="O2262" i="1" s="1"/>
  <c r="O2263" i="1" a="1"/>
  <c r="O2263" i="1" s="1"/>
  <c r="O2264" i="1" a="1"/>
  <c r="O2264" i="1" s="1"/>
  <c r="O2265" i="1" a="1"/>
  <c r="O2265" i="1" s="1"/>
  <c r="O2266" i="1" a="1"/>
  <c r="O2266" i="1" s="1"/>
  <c r="O2267" i="1" a="1"/>
  <c r="O2267" i="1" s="1"/>
  <c r="O2268" i="1" a="1"/>
  <c r="O2268" i="1" s="1"/>
  <c r="O2269" i="1" a="1"/>
  <c r="O2269" i="1" s="1"/>
  <c r="O2270" i="1" a="1"/>
  <c r="O2270" i="1" s="1"/>
  <c r="O2271" i="1" a="1"/>
  <c r="O2271" i="1" s="1"/>
  <c r="O2272" i="1" a="1"/>
  <c r="O2272" i="1" s="1"/>
  <c r="O2273" i="1" a="1"/>
  <c r="O2273" i="1" s="1"/>
  <c r="O2274" i="1" a="1"/>
  <c r="O2274" i="1" s="1"/>
  <c r="O2275" i="1" a="1"/>
  <c r="O2275" i="1" s="1"/>
  <c r="O2276" i="1" a="1"/>
  <c r="O2276" i="1" s="1"/>
  <c r="O2277" i="1" a="1"/>
  <c r="O2277" i="1" s="1"/>
  <c r="O2278" i="1" a="1"/>
  <c r="O2278" i="1" s="1"/>
  <c r="O2279" i="1" a="1"/>
  <c r="O2279" i="1" s="1"/>
  <c r="O2280" i="1" a="1"/>
  <c r="O2280" i="1" s="1"/>
  <c r="O2281" i="1" a="1"/>
  <c r="O2281" i="1" s="1"/>
  <c r="O2282" i="1" a="1"/>
  <c r="O2282" i="1" s="1"/>
  <c r="O2283" i="1" a="1"/>
  <c r="O2283" i="1" s="1"/>
  <c r="O2284" i="1" a="1"/>
  <c r="O2284" i="1" s="1"/>
  <c r="O2285" i="1" a="1"/>
  <c r="O2285" i="1" s="1"/>
  <c r="O2286" i="1" a="1"/>
  <c r="O2286" i="1" s="1"/>
  <c r="O2287" i="1" a="1"/>
  <c r="O2287" i="1" s="1"/>
  <c r="O2288" i="1" a="1"/>
  <c r="O2288" i="1" s="1"/>
  <c r="O2289" i="1" a="1"/>
  <c r="O2289" i="1" s="1"/>
  <c r="O2290" i="1" a="1"/>
  <c r="O2290" i="1" s="1"/>
  <c r="O2291" i="1" a="1"/>
  <c r="O2291" i="1" s="1"/>
  <c r="O2292" i="1" a="1"/>
  <c r="O2292" i="1" s="1"/>
  <c r="O2293" i="1" a="1"/>
  <c r="O2293" i="1" s="1"/>
  <c r="O2294" i="1" a="1"/>
  <c r="O2294" i="1" s="1"/>
  <c r="O2295" i="1" a="1"/>
  <c r="O2295" i="1" s="1"/>
  <c r="O2296" i="1" a="1"/>
  <c r="O2296" i="1" s="1"/>
  <c r="O2297" i="1" a="1"/>
  <c r="O2297" i="1" s="1"/>
  <c r="O2298" i="1" a="1"/>
  <c r="O2298" i="1" s="1"/>
  <c r="O2299" i="1" a="1"/>
  <c r="O2299" i="1" s="1"/>
  <c r="O2300" i="1" a="1"/>
  <c r="O2300" i="1" s="1"/>
  <c r="O2301" i="1" a="1"/>
  <c r="O2301" i="1" s="1"/>
  <c r="O2302" i="1" a="1"/>
  <c r="O2302" i="1" s="1"/>
  <c r="O2303" i="1" a="1"/>
  <c r="O2303" i="1" s="1"/>
  <c r="O2304" i="1" a="1"/>
  <c r="O2304" i="1" s="1"/>
  <c r="O2305" i="1" a="1"/>
  <c r="O2305" i="1"/>
  <c r="O2306" i="1" a="1"/>
  <c r="O2306" i="1"/>
  <c r="O2307" i="1" a="1"/>
  <c r="O2307" i="1" s="1"/>
  <c r="O2308" i="1" a="1"/>
  <c r="O2308" i="1" s="1"/>
  <c r="O2309" i="1" a="1"/>
  <c r="O2309" i="1"/>
  <c r="O2310" i="1" a="1"/>
  <c r="O2310" i="1" s="1"/>
  <c r="O2311" i="1" a="1"/>
  <c r="O2311" i="1" s="1"/>
  <c r="O2312" i="1" a="1"/>
  <c r="O2312" i="1" s="1"/>
  <c r="O2313" i="1" a="1"/>
  <c r="O2313" i="1" s="1"/>
  <c r="O2314" i="1" a="1"/>
  <c r="O2314" i="1" s="1"/>
  <c r="O2315" i="1" a="1"/>
  <c r="O2315" i="1" s="1"/>
  <c r="O2316" i="1" a="1"/>
  <c r="O2316" i="1" s="1"/>
  <c r="O2317" i="1" a="1"/>
  <c r="O2317" i="1"/>
  <c r="O2318" i="1" a="1"/>
  <c r="O2318" i="1" s="1"/>
  <c r="O2319" i="1" a="1"/>
  <c r="O2319" i="1" s="1"/>
  <c r="O2320" i="1" a="1"/>
  <c r="O2320" i="1" s="1"/>
  <c r="O2321" i="1" a="1"/>
  <c r="O2321" i="1"/>
  <c r="O2322" i="1" a="1"/>
  <c r="O2322" i="1" s="1"/>
  <c r="O2323" i="1" a="1"/>
  <c r="O2323" i="1" s="1"/>
  <c r="O2324" i="1" a="1"/>
  <c r="O2324" i="1" s="1"/>
  <c r="O2325" i="1" a="1"/>
  <c r="O2325" i="1" s="1"/>
  <c r="O2326" i="1" a="1"/>
  <c r="O2326" i="1" s="1"/>
  <c r="O2327" i="1" a="1"/>
  <c r="O2327" i="1" s="1"/>
  <c r="O2328" i="1" a="1"/>
  <c r="O2328" i="1" s="1"/>
  <c r="O2329" i="1" a="1"/>
  <c r="O2329" i="1"/>
  <c r="O2330" i="1" a="1"/>
  <c r="O2330" i="1"/>
  <c r="O2331" i="1" a="1"/>
  <c r="O2331" i="1" s="1"/>
  <c r="O2332" i="1" a="1"/>
  <c r="O2332" i="1" s="1"/>
  <c r="O2333" i="1" a="1"/>
  <c r="O2333" i="1"/>
  <c r="O2334" i="1" a="1"/>
  <c r="O2334" i="1" s="1"/>
  <c r="O2335" i="1" a="1"/>
  <c r="O2335" i="1" s="1"/>
  <c r="O2336" i="1" a="1"/>
  <c r="O2336" i="1" s="1"/>
  <c r="O2337" i="1" a="1"/>
  <c r="O2337" i="1" s="1"/>
  <c r="O2338" i="1" a="1"/>
  <c r="O2338" i="1" s="1"/>
  <c r="O2339" i="1" a="1"/>
  <c r="O2339" i="1" s="1"/>
  <c r="O2340" i="1" a="1"/>
  <c r="O2340" i="1" s="1"/>
  <c r="O2341" i="1" a="1"/>
  <c r="O2341" i="1"/>
  <c r="O2342" i="1" a="1"/>
  <c r="O2342" i="1" s="1"/>
  <c r="O2343" i="1" a="1"/>
  <c r="O2343" i="1" s="1"/>
  <c r="O2344" i="1" a="1"/>
  <c r="O2344" i="1" s="1"/>
  <c r="O2345" i="1" a="1"/>
  <c r="O2345" i="1"/>
  <c r="O2346" i="1" a="1"/>
  <c r="O2346" i="1" s="1"/>
  <c r="O2347" i="1" a="1"/>
  <c r="O2347" i="1" s="1"/>
  <c r="O2348" i="1" a="1"/>
  <c r="O2348" i="1" s="1"/>
  <c r="O2349" i="1" a="1"/>
  <c r="O2349" i="1" s="1"/>
  <c r="O2350" i="1" a="1"/>
  <c r="O2350" i="1" s="1"/>
  <c r="O2351" i="1" a="1"/>
  <c r="O2351" i="1" s="1"/>
  <c r="O2352" i="1" a="1"/>
  <c r="O2352" i="1" s="1"/>
  <c r="O2353" i="1" a="1"/>
  <c r="O2353" i="1"/>
  <c r="O2354" i="1" a="1"/>
  <c r="O2354" i="1"/>
  <c r="O2355" i="1" a="1"/>
  <c r="O2355" i="1" s="1"/>
  <c r="O2356" i="1" a="1"/>
  <c r="O2356" i="1" s="1"/>
  <c r="O2357" i="1" a="1"/>
  <c r="O2357" i="1"/>
  <c r="O2358" i="1" a="1"/>
  <c r="O2358" i="1" s="1"/>
  <c r="O2359" i="1" a="1"/>
  <c r="O2359" i="1" s="1"/>
  <c r="O2360" i="1" a="1"/>
  <c r="O2360" i="1" s="1"/>
  <c r="O2361" i="1" a="1"/>
  <c r="O2361" i="1" s="1"/>
  <c r="O2362" i="1" a="1"/>
  <c r="O2362" i="1" s="1"/>
  <c r="O2363" i="1" a="1"/>
  <c r="O2363" i="1" s="1"/>
  <c r="O2364" i="1" a="1"/>
  <c r="O2364" i="1" s="1"/>
  <c r="O2365" i="1" a="1"/>
  <c r="O2365" i="1"/>
  <c r="O2366" i="1" a="1"/>
  <c r="O2366" i="1" s="1"/>
  <c r="O2367" i="1" a="1"/>
  <c r="O2367" i="1" s="1"/>
  <c r="O2368" i="1" a="1"/>
  <c r="O2368" i="1" s="1"/>
  <c r="O2369" i="1" a="1"/>
  <c r="O2369" i="1" s="1"/>
  <c r="O2370" i="1" a="1"/>
  <c r="O2370" i="1" s="1"/>
  <c r="O2371" i="1" a="1"/>
  <c r="O2371" i="1"/>
  <c r="O2372" i="1" a="1"/>
  <c r="O2372" i="1"/>
  <c r="O2373" i="1" a="1"/>
  <c r="O2373" i="1" s="1"/>
  <c r="O2374" i="1" a="1"/>
  <c r="O2374" i="1" s="1"/>
  <c r="O2375" i="1" a="1"/>
  <c r="O2375" i="1" s="1"/>
  <c r="O2376" i="1" a="1"/>
  <c r="O2376" i="1" s="1"/>
  <c r="O2377" i="1" a="1"/>
  <c r="O2377" i="1"/>
  <c r="O2378" i="1" a="1"/>
  <c r="O2378" i="1"/>
  <c r="O2379" i="1" a="1"/>
  <c r="O2379" i="1" s="1"/>
  <c r="O2380" i="1" a="1"/>
  <c r="O2380" i="1" s="1"/>
  <c r="O2381" i="1" a="1"/>
  <c r="O2381" i="1" s="1"/>
  <c r="O2382" i="1" a="1"/>
  <c r="O2382" i="1" s="1"/>
  <c r="O2383" i="1" a="1"/>
  <c r="O2383" i="1"/>
  <c r="O2384" i="1" a="1"/>
  <c r="O2384" i="1"/>
  <c r="O2385" i="1" a="1"/>
  <c r="O2385" i="1" s="1"/>
  <c r="O2386" i="1" a="1"/>
  <c r="O2386" i="1" s="1"/>
  <c r="O2387" i="1" a="1"/>
  <c r="O2387" i="1" s="1"/>
  <c r="O2388" i="1" a="1"/>
  <c r="O2388" i="1" s="1"/>
  <c r="O2389" i="1" a="1"/>
  <c r="O2389" i="1"/>
  <c r="O2390" i="1" a="1"/>
  <c r="O2390" i="1"/>
  <c r="O2391" i="1" a="1"/>
  <c r="O2391" i="1" s="1"/>
  <c r="O2392" i="1" a="1"/>
  <c r="O2392" i="1" s="1"/>
  <c r="O2393" i="1" a="1"/>
  <c r="O2393" i="1" s="1"/>
  <c r="O2394" i="1" a="1"/>
  <c r="O2394" i="1" s="1"/>
  <c r="O2395" i="1" a="1"/>
  <c r="O2395" i="1" s="1"/>
  <c r="O2396" i="1" a="1"/>
  <c r="O2396" i="1"/>
  <c r="O2397" i="1" a="1"/>
  <c r="O2397" i="1" s="1"/>
  <c r="O2398" i="1" a="1"/>
  <c r="O2398" i="1" s="1"/>
  <c r="O2399" i="1" a="1"/>
  <c r="O2399" i="1" s="1"/>
  <c r="O2400" i="1" a="1"/>
  <c r="O2400" i="1" s="1"/>
  <c r="O2401" i="1" a="1"/>
  <c r="O2401" i="1"/>
  <c r="O2" i="1" a="1"/>
  <c r="O2" i="1" s="1"/>
  <c r="N2401" i="1"/>
  <c r="M2401" i="1"/>
  <c r="N2400" i="1"/>
  <c r="M2400" i="1"/>
  <c r="N2399" i="1"/>
  <c r="M2399" i="1"/>
  <c r="N2398" i="1"/>
  <c r="M2398" i="1"/>
  <c r="N2397" i="1"/>
  <c r="M2397" i="1"/>
  <c r="N2396" i="1"/>
  <c r="M2396" i="1"/>
  <c r="N2395" i="1"/>
  <c r="M2395" i="1"/>
  <c r="N2394" i="1"/>
  <c r="M2394" i="1"/>
  <c r="N2393" i="1"/>
  <c r="M2393" i="1"/>
  <c r="N2392" i="1"/>
  <c r="M2392" i="1"/>
  <c r="N2391" i="1"/>
  <c r="M2391" i="1"/>
  <c r="N2390" i="1"/>
  <c r="M2390" i="1"/>
  <c r="N2389" i="1"/>
  <c r="M2389" i="1"/>
  <c r="N2388" i="1"/>
  <c r="M2388" i="1"/>
  <c r="N2387" i="1"/>
  <c r="M2387" i="1"/>
  <c r="N2386" i="1"/>
  <c r="M2386" i="1"/>
  <c r="N2385" i="1"/>
  <c r="M2385" i="1"/>
  <c r="N2384" i="1"/>
  <c r="M2384" i="1"/>
  <c r="N2383" i="1"/>
  <c r="M2383" i="1"/>
  <c r="N2382" i="1"/>
  <c r="M2382" i="1"/>
  <c r="N2381" i="1"/>
  <c r="M2381" i="1"/>
  <c r="N2380" i="1"/>
  <c r="M2380" i="1"/>
  <c r="N2379" i="1"/>
  <c r="M2379" i="1"/>
  <c r="N2378" i="1"/>
  <c r="M2378" i="1"/>
  <c r="N2377" i="1"/>
  <c r="M2377" i="1"/>
  <c r="N2376" i="1"/>
  <c r="M2376" i="1"/>
  <c r="N2375" i="1"/>
  <c r="M2375" i="1"/>
  <c r="N2374" i="1"/>
  <c r="M2374" i="1"/>
  <c r="N2373" i="1"/>
  <c r="M2373" i="1"/>
  <c r="N2372" i="1"/>
  <c r="M2372" i="1"/>
  <c r="N2371" i="1"/>
  <c r="M2371" i="1"/>
  <c r="N2370" i="1"/>
  <c r="M2370" i="1"/>
  <c r="N2369" i="1"/>
  <c r="M2369" i="1"/>
  <c r="N2368" i="1"/>
  <c r="M2368" i="1"/>
  <c r="N2367" i="1"/>
  <c r="M2367" i="1"/>
  <c r="N2366" i="1"/>
  <c r="M2366" i="1"/>
  <c r="N2365" i="1"/>
  <c r="M2365" i="1"/>
  <c r="N2364" i="1"/>
  <c r="M2364" i="1"/>
  <c r="N2363" i="1"/>
  <c r="M2363" i="1"/>
  <c r="N2362" i="1"/>
  <c r="M2362" i="1"/>
  <c r="N2361" i="1"/>
  <c r="M2361" i="1"/>
  <c r="N2360" i="1"/>
  <c r="M2360" i="1"/>
  <c r="N2359" i="1"/>
  <c r="M2359" i="1"/>
  <c r="N2358" i="1"/>
  <c r="M2358" i="1"/>
  <c r="N2357" i="1"/>
  <c r="M2357" i="1"/>
  <c r="N2356" i="1"/>
  <c r="M2356" i="1"/>
  <c r="N2355" i="1"/>
  <c r="M2355" i="1"/>
  <c r="N2354" i="1"/>
  <c r="M2354" i="1"/>
  <c r="N2353" i="1"/>
  <c r="M2353" i="1"/>
  <c r="N2352" i="1"/>
  <c r="M2352" i="1"/>
  <c r="N2351" i="1"/>
  <c r="M2351" i="1"/>
  <c r="N2350" i="1"/>
  <c r="M2350" i="1"/>
  <c r="N2349" i="1"/>
  <c r="M2349" i="1"/>
  <c r="N2348" i="1"/>
  <c r="M2348" i="1"/>
  <c r="N2347" i="1"/>
  <c r="M2347" i="1"/>
  <c r="N2346" i="1"/>
  <c r="M2346" i="1"/>
  <c r="N2345" i="1"/>
  <c r="M2345" i="1"/>
  <c r="N2344" i="1"/>
  <c r="M2344" i="1"/>
  <c r="N2343" i="1"/>
  <c r="M2343" i="1"/>
  <c r="N2342" i="1"/>
  <c r="M2342" i="1"/>
  <c r="N2341" i="1"/>
  <c r="M2341" i="1"/>
  <c r="N2340" i="1"/>
  <c r="M2340" i="1"/>
  <c r="N2339" i="1"/>
  <c r="M2339" i="1"/>
  <c r="N2338" i="1"/>
  <c r="M2338" i="1"/>
  <c r="N2337" i="1"/>
  <c r="M2337" i="1"/>
  <c r="N2336" i="1"/>
  <c r="M2336" i="1"/>
  <c r="N2335" i="1"/>
  <c r="M2335" i="1"/>
  <c r="N2334" i="1"/>
  <c r="M2334" i="1"/>
  <c r="N2333" i="1"/>
  <c r="M2333" i="1"/>
  <c r="N2332" i="1"/>
  <c r="M2332" i="1"/>
  <c r="N2331" i="1"/>
  <c r="M2331" i="1"/>
  <c r="N2330" i="1"/>
  <c r="M2330" i="1"/>
  <c r="N2329" i="1"/>
  <c r="M2329" i="1"/>
  <c r="N2328" i="1"/>
  <c r="M2328" i="1"/>
  <c r="N2327" i="1"/>
  <c r="M2327" i="1"/>
  <c r="N2326" i="1"/>
  <c r="M2326" i="1"/>
  <c r="N2325" i="1"/>
  <c r="M2325" i="1"/>
  <c r="N2324" i="1"/>
  <c r="M2324" i="1"/>
  <c r="N2323" i="1"/>
  <c r="M2323" i="1"/>
  <c r="N2322" i="1"/>
  <c r="M2322" i="1"/>
  <c r="N2321" i="1"/>
  <c r="M2321" i="1"/>
  <c r="N2320" i="1"/>
  <c r="M2320" i="1"/>
  <c r="N2319" i="1"/>
  <c r="M2319" i="1"/>
  <c r="N2318" i="1"/>
  <c r="M2318" i="1"/>
  <c r="N2317" i="1"/>
  <c r="M2317" i="1"/>
  <c r="N2316" i="1"/>
  <c r="M2316" i="1"/>
  <c r="N2315" i="1"/>
  <c r="M2315" i="1"/>
  <c r="N2314" i="1"/>
  <c r="M2314" i="1"/>
  <c r="N2313" i="1"/>
  <c r="M2313" i="1"/>
  <c r="N2312" i="1"/>
  <c r="M2312" i="1"/>
  <c r="N2311" i="1"/>
  <c r="M2311" i="1"/>
  <c r="N2310" i="1"/>
  <c r="M2310" i="1"/>
  <c r="N2309" i="1"/>
  <c r="M2309" i="1"/>
  <c r="N2308" i="1"/>
  <c r="M2308" i="1"/>
  <c r="N2307" i="1"/>
  <c r="M2307" i="1"/>
  <c r="N2306" i="1"/>
  <c r="M2306" i="1"/>
  <c r="N2305" i="1"/>
  <c r="M2305" i="1"/>
  <c r="N2304" i="1"/>
  <c r="M2304" i="1"/>
  <c r="N2303" i="1"/>
  <c r="M2303" i="1"/>
  <c r="N2302" i="1"/>
  <c r="M2302" i="1"/>
  <c r="N2301" i="1"/>
  <c r="M2301" i="1"/>
  <c r="N2300" i="1"/>
  <c r="M2300" i="1"/>
  <c r="N2299" i="1"/>
  <c r="M2299" i="1"/>
  <c r="N2298" i="1"/>
  <c r="M2298" i="1"/>
  <c r="N2297" i="1"/>
  <c r="M2297" i="1"/>
  <c r="N2296" i="1"/>
  <c r="M2296" i="1"/>
  <c r="N2295" i="1"/>
  <c r="M2295" i="1"/>
  <c r="N2294" i="1"/>
  <c r="M2294" i="1"/>
  <c r="N2293" i="1"/>
  <c r="M2293" i="1"/>
  <c r="N2292" i="1"/>
  <c r="M2292" i="1"/>
  <c r="N2291" i="1"/>
  <c r="M2291" i="1"/>
  <c r="N2290" i="1"/>
  <c r="M2290" i="1"/>
  <c r="N2289" i="1"/>
  <c r="M2289" i="1"/>
  <c r="N2288" i="1"/>
  <c r="M2288" i="1"/>
  <c r="N2287" i="1"/>
  <c r="M2287" i="1"/>
  <c r="N2286" i="1"/>
  <c r="M2286" i="1"/>
  <c r="N2285" i="1"/>
  <c r="M2285" i="1"/>
  <c r="N2284" i="1"/>
  <c r="M2284" i="1"/>
  <c r="N2283" i="1"/>
  <c r="M2283" i="1"/>
  <c r="N2282" i="1"/>
  <c r="M2282" i="1"/>
  <c r="N2281" i="1"/>
  <c r="M2281" i="1"/>
  <c r="N2280" i="1"/>
  <c r="M2280" i="1"/>
  <c r="N2279" i="1"/>
  <c r="M2279" i="1"/>
  <c r="N2278" i="1"/>
  <c r="M2278" i="1"/>
  <c r="N2277" i="1"/>
  <c r="M2277" i="1"/>
  <c r="N2276" i="1"/>
  <c r="M2276" i="1"/>
  <c r="N2275" i="1"/>
  <c r="M2275" i="1"/>
  <c r="N2274" i="1"/>
  <c r="M2274" i="1"/>
  <c r="N2273" i="1"/>
  <c r="M2273" i="1"/>
  <c r="N2272" i="1"/>
  <c r="M2272" i="1"/>
  <c r="N2271" i="1"/>
  <c r="M2271" i="1"/>
  <c r="N2270" i="1"/>
  <c r="M2270" i="1"/>
  <c r="N2269" i="1"/>
  <c r="M2269" i="1"/>
  <c r="N2268" i="1"/>
  <c r="M2268" i="1"/>
  <c r="N2267" i="1"/>
  <c r="M2267" i="1"/>
  <c r="N2266" i="1"/>
  <c r="M2266" i="1"/>
  <c r="N2265" i="1"/>
  <c r="M2265" i="1"/>
  <c r="N2264" i="1"/>
  <c r="M2264" i="1"/>
  <c r="N2263" i="1"/>
  <c r="M2263" i="1"/>
  <c r="N2262" i="1"/>
  <c r="M2262" i="1"/>
  <c r="N2261" i="1"/>
  <c r="M2261" i="1"/>
  <c r="N2260" i="1"/>
  <c r="M2260" i="1"/>
  <c r="N2259" i="1"/>
  <c r="M2259" i="1"/>
  <c r="N2258" i="1"/>
  <c r="M2258" i="1"/>
  <c r="N2257" i="1"/>
  <c r="M2257" i="1"/>
  <c r="N2256" i="1"/>
  <c r="M2256" i="1"/>
  <c r="N2255" i="1"/>
  <c r="M2255" i="1"/>
  <c r="N2254" i="1"/>
  <c r="M2254" i="1"/>
  <c r="N2253" i="1"/>
  <c r="M2253" i="1"/>
  <c r="N2252" i="1"/>
  <c r="M2252" i="1"/>
  <c r="N2251" i="1"/>
  <c r="M2251" i="1"/>
  <c r="N2250" i="1"/>
  <c r="M2250" i="1"/>
  <c r="N2249" i="1"/>
  <c r="M2249" i="1"/>
  <c r="N2248" i="1"/>
  <c r="M2248" i="1"/>
  <c r="N2247" i="1"/>
  <c r="M2247" i="1"/>
  <c r="N2246" i="1"/>
  <c r="M2246" i="1"/>
  <c r="N2245" i="1"/>
  <c r="M2245" i="1"/>
  <c r="N2244" i="1"/>
  <c r="M2244" i="1"/>
  <c r="N2243" i="1"/>
  <c r="M2243" i="1"/>
  <c r="N2242" i="1"/>
  <c r="M2242" i="1"/>
  <c r="N2241" i="1"/>
  <c r="M2241" i="1"/>
  <c r="N2240" i="1"/>
  <c r="M2240" i="1"/>
  <c r="N2239" i="1"/>
  <c r="M2239" i="1"/>
  <c r="N2238" i="1"/>
  <c r="M2238" i="1"/>
  <c r="N2237" i="1"/>
  <c r="M2237" i="1"/>
  <c r="N2236" i="1"/>
  <c r="M2236" i="1"/>
  <c r="N2235" i="1"/>
  <c r="M2235" i="1"/>
  <c r="N2234" i="1"/>
  <c r="M2234" i="1"/>
  <c r="N2233" i="1"/>
  <c r="M2233" i="1"/>
  <c r="N2232" i="1"/>
  <c r="M2232" i="1"/>
  <c r="N2231" i="1"/>
  <c r="M2231" i="1"/>
  <c r="N2230" i="1"/>
  <c r="M2230" i="1"/>
  <c r="N2229" i="1"/>
  <c r="M2229" i="1"/>
  <c r="N2228" i="1"/>
  <c r="M2228" i="1"/>
  <c r="N2227" i="1"/>
  <c r="M2227" i="1"/>
  <c r="N2226" i="1"/>
  <c r="M2226" i="1"/>
  <c r="N2225" i="1"/>
  <c r="M2225" i="1"/>
  <c r="N2224" i="1"/>
  <c r="M2224" i="1"/>
  <c r="N2223" i="1"/>
  <c r="M2223" i="1"/>
  <c r="N2222" i="1"/>
  <c r="M2222" i="1"/>
  <c r="N2221" i="1"/>
  <c r="M2221" i="1"/>
  <c r="N2220" i="1"/>
  <c r="M2220" i="1"/>
  <c r="N2219" i="1"/>
  <c r="M2219" i="1"/>
  <c r="N2218" i="1"/>
  <c r="M2218" i="1"/>
  <c r="N2217" i="1"/>
  <c r="M2217" i="1"/>
  <c r="N2216" i="1"/>
  <c r="M2216" i="1"/>
  <c r="N2215" i="1"/>
  <c r="M2215" i="1"/>
  <c r="N2214" i="1"/>
  <c r="M2214" i="1"/>
  <c r="N2213" i="1"/>
  <c r="M2213" i="1"/>
  <c r="N2212" i="1"/>
  <c r="M2212" i="1"/>
  <c r="N2211" i="1"/>
  <c r="M2211" i="1"/>
  <c r="N2210" i="1"/>
  <c r="M2210" i="1"/>
  <c r="N2209" i="1"/>
  <c r="M2209" i="1"/>
  <c r="N2208" i="1"/>
  <c r="M2208" i="1"/>
  <c r="N2207" i="1"/>
  <c r="M2207" i="1"/>
  <c r="N2206" i="1"/>
  <c r="M2206" i="1"/>
  <c r="N2205" i="1"/>
  <c r="M2205" i="1"/>
  <c r="N2204" i="1"/>
  <c r="M2204" i="1"/>
  <c r="N2203" i="1"/>
  <c r="M2203" i="1"/>
  <c r="N2202" i="1"/>
  <c r="M2202" i="1"/>
  <c r="N2201" i="1"/>
  <c r="M2201" i="1"/>
  <c r="N2200" i="1"/>
  <c r="M2200" i="1"/>
  <c r="N2199" i="1"/>
  <c r="M2199" i="1"/>
  <c r="N2198" i="1"/>
  <c r="M2198" i="1"/>
  <c r="N2197" i="1"/>
  <c r="M2197" i="1"/>
  <c r="N2196" i="1"/>
  <c r="M2196" i="1"/>
  <c r="N2195" i="1"/>
  <c r="M2195" i="1"/>
  <c r="N2194" i="1"/>
  <c r="M2194" i="1"/>
  <c r="N2193" i="1"/>
  <c r="M2193" i="1"/>
  <c r="N2192" i="1"/>
  <c r="M2192" i="1"/>
  <c r="N2191" i="1"/>
  <c r="M2191" i="1"/>
  <c r="N2190" i="1"/>
  <c r="M2190" i="1"/>
  <c r="N2189" i="1"/>
  <c r="M2189" i="1"/>
  <c r="N2188" i="1"/>
  <c r="M2188" i="1"/>
  <c r="N2187" i="1"/>
  <c r="M2187" i="1"/>
  <c r="N2186" i="1"/>
  <c r="M2186" i="1"/>
  <c r="N2185" i="1"/>
  <c r="M2185" i="1"/>
  <c r="N2184" i="1"/>
  <c r="M2184" i="1"/>
  <c r="N2183" i="1"/>
  <c r="M2183" i="1"/>
  <c r="N2182" i="1"/>
  <c r="M2182" i="1"/>
  <c r="N2181" i="1"/>
  <c r="M2181" i="1"/>
  <c r="N2180" i="1"/>
  <c r="M2180" i="1"/>
  <c r="N2179" i="1"/>
  <c r="M2179" i="1"/>
  <c r="N2178" i="1"/>
  <c r="M2178" i="1"/>
  <c r="N2177" i="1"/>
  <c r="M2177" i="1"/>
  <c r="N2176" i="1"/>
  <c r="M2176" i="1"/>
  <c r="N2175" i="1"/>
  <c r="M2175" i="1"/>
  <c r="N2174" i="1"/>
  <c r="M2174" i="1"/>
  <c r="N2173" i="1"/>
  <c r="M2173" i="1"/>
  <c r="N2172" i="1"/>
  <c r="M2172" i="1"/>
  <c r="N2171" i="1"/>
  <c r="M2171" i="1"/>
  <c r="N2170" i="1"/>
  <c r="M2170" i="1"/>
  <c r="N2169" i="1"/>
  <c r="M2169" i="1"/>
  <c r="N2168" i="1"/>
  <c r="M2168" i="1"/>
  <c r="N2167" i="1"/>
  <c r="M2167" i="1"/>
  <c r="N2166" i="1"/>
  <c r="M2166" i="1"/>
  <c r="N2165" i="1"/>
  <c r="M2165" i="1"/>
  <c r="N2164" i="1"/>
  <c r="M2164" i="1"/>
  <c r="N2163" i="1"/>
  <c r="M2163" i="1"/>
  <c r="N2162" i="1"/>
  <c r="M2162" i="1"/>
  <c r="N2161" i="1"/>
  <c r="M2161" i="1"/>
  <c r="N2160" i="1"/>
  <c r="M2160" i="1"/>
  <c r="N2159" i="1"/>
  <c r="M2159" i="1"/>
  <c r="N2158" i="1"/>
  <c r="M2158" i="1"/>
  <c r="N2157" i="1"/>
  <c r="M2157" i="1"/>
  <c r="N2156" i="1"/>
  <c r="M2156" i="1"/>
  <c r="N2155" i="1"/>
  <c r="M2155" i="1"/>
  <c r="N2154" i="1"/>
  <c r="M2154" i="1"/>
  <c r="N2153" i="1"/>
  <c r="M2153" i="1"/>
  <c r="N2152" i="1"/>
  <c r="M2152" i="1"/>
  <c r="N2151" i="1"/>
  <c r="M2151" i="1"/>
  <c r="N2150" i="1"/>
  <c r="M2150" i="1"/>
  <c r="N2149" i="1"/>
  <c r="M2149" i="1"/>
  <c r="N2148" i="1"/>
  <c r="M2148" i="1"/>
  <c r="N2147" i="1"/>
  <c r="M2147" i="1"/>
  <c r="N2146" i="1"/>
  <c r="M2146" i="1"/>
  <c r="N2145" i="1"/>
  <c r="M2145" i="1"/>
  <c r="N2144" i="1"/>
  <c r="M2144" i="1"/>
  <c r="N2143" i="1"/>
  <c r="M2143" i="1"/>
  <c r="N2142" i="1"/>
  <c r="M2142" i="1"/>
  <c r="N2141" i="1"/>
  <c r="M2141" i="1"/>
  <c r="N2140" i="1"/>
  <c r="M2140" i="1"/>
  <c r="N2139" i="1"/>
  <c r="M2139" i="1"/>
  <c r="N2138" i="1"/>
  <c r="M2138" i="1"/>
  <c r="N2137" i="1"/>
  <c r="M2137" i="1"/>
  <c r="N2136" i="1"/>
  <c r="M2136" i="1"/>
  <c r="N2135" i="1"/>
  <c r="M2135" i="1"/>
  <c r="N2134" i="1"/>
  <c r="M2134" i="1"/>
  <c r="N2133" i="1"/>
  <c r="M2133" i="1"/>
  <c r="N2132" i="1"/>
  <c r="M2132" i="1"/>
  <c r="N2131" i="1"/>
  <c r="M2131" i="1"/>
  <c r="N2130" i="1"/>
  <c r="M2130" i="1"/>
  <c r="N2129" i="1"/>
  <c r="M2129" i="1"/>
  <c r="N2128" i="1"/>
  <c r="M2128" i="1"/>
  <c r="N2127" i="1"/>
  <c r="M2127" i="1"/>
  <c r="N2126" i="1"/>
  <c r="M2126" i="1"/>
  <c r="N2125" i="1"/>
  <c r="M2125" i="1"/>
  <c r="N2124" i="1"/>
  <c r="M2124" i="1"/>
  <c r="N2123" i="1"/>
  <c r="M2123" i="1"/>
  <c r="N2122" i="1"/>
  <c r="M2122" i="1"/>
  <c r="N2121" i="1"/>
  <c r="M2121" i="1"/>
  <c r="N2120" i="1"/>
  <c r="M2120" i="1"/>
  <c r="N2119" i="1"/>
  <c r="M2119" i="1"/>
  <c r="N2118" i="1"/>
  <c r="M2118" i="1"/>
  <c r="N2117" i="1"/>
  <c r="M2117" i="1"/>
  <c r="N2116" i="1"/>
  <c r="M2116" i="1"/>
  <c r="N2115" i="1"/>
  <c r="M2115" i="1"/>
  <c r="N2114" i="1"/>
  <c r="M2114" i="1"/>
  <c r="N2113" i="1"/>
  <c r="M2113" i="1"/>
  <c r="N2112" i="1"/>
  <c r="M2112" i="1"/>
  <c r="N2111" i="1"/>
  <c r="M2111" i="1"/>
  <c r="N2110" i="1"/>
  <c r="M2110" i="1"/>
  <c r="N2109" i="1"/>
  <c r="M2109" i="1"/>
  <c r="N2108" i="1"/>
  <c r="M2108" i="1"/>
  <c r="N2107" i="1"/>
  <c r="M2107" i="1"/>
  <c r="N2106" i="1"/>
  <c r="M2106" i="1"/>
  <c r="N2105" i="1"/>
  <c r="M2105" i="1"/>
  <c r="N2104" i="1"/>
  <c r="M2104" i="1"/>
  <c r="N2103" i="1"/>
  <c r="M2103" i="1"/>
  <c r="N2102" i="1"/>
  <c r="M2102" i="1"/>
  <c r="N2101" i="1"/>
  <c r="M2101" i="1"/>
  <c r="N2100" i="1"/>
  <c r="M2100" i="1"/>
  <c r="N2099" i="1"/>
  <c r="M2099" i="1"/>
  <c r="N2098" i="1"/>
  <c r="M2098" i="1"/>
  <c r="N2097" i="1"/>
  <c r="M2097" i="1"/>
  <c r="N2096" i="1"/>
  <c r="M2096" i="1"/>
  <c r="N2095" i="1"/>
  <c r="M2095" i="1"/>
  <c r="N2094" i="1"/>
  <c r="M2094" i="1"/>
  <c r="N2093" i="1"/>
  <c r="M2093" i="1"/>
  <c r="N2092" i="1"/>
  <c r="M2092" i="1"/>
  <c r="N2091" i="1"/>
  <c r="M2091" i="1"/>
  <c r="N2090" i="1"/>
  <c r="M2090" i="1"/>
  <c r="N2089" i="1"/>
  <c r="M2089" i="1"/>
  <c r="N2088" i="1"/>
  <c r="M2088" i="1"/>
  <c r="N2087" i="1"/>
  <c r="M2087" i="1"/>
  <c r="N2086" i="1"/>
  <c r="M2086" i="1"/>
  <c r="N2085" i="1"/>
  <c r="M2085" i="1"/>
  <c r="N2084" i="1"/>
  <c r="M2084" i="1"/>
  <c r="N2083" i="1"/>
  <c r="M2083" i="1"/>
  <c r="N2082" i="1"/>
  <c r="M2082" i="1"/>
  <c r="N2081" i="1"/>
  <c r="M2081" i="1"/>
  <c r="N2080" i="1"/>
  <c r="M2080" i="1"/>
  <c r="N2079" i="1"/>
  <c r="M2079" i="1"/>
  <c r="N2078" i="1"/>
  <c r="M2078" i="1"/>
  <c r="N2077" i="1"/>
  <c r="M2077" i="1"/>
  <c r="N2076" i="1"/>
  <c r="M2076" i="1"/>
  <c r="N2075" i="1"/>
  <c r="M2075" i="1"/>
  <c r="N2074" i="1"/>
  <c r="M2074" i="1"/>
  <c r="N2073" i="1"/>
  <c r="M2073" i="1"/>
  <c r="N2072" i="1"/>
  <c r="M2072" i="1"/>
  <c r="N2071" i="1"/>
  <c r="M2071" i="1"/>
  <c r="N2070" i="1"/>
  <c r="M2070" i="1"/>
  <c r="N2069" i="1"/>
  <c r="M2069" i="1"/>
  <c r="N2068" i="1"/>
  <c r="M2068" i="1"/>
  <c r="N2067" i="1"/>
  <c r="M2067" i="1"/>
  <c r="N2066" i="1"/>
  <c r="M2066" i="1"/>
  <c r="N2065" i="1"/>
  <c r="M2065" i="1"/>
  <c r="N2064" i="1"/>
  <c r="M2064" i="1"/>
  <c r="N2063" i="1"/>
  <c r="M2063" i="1"/>
  <c r="N2062" i="1"/>
  <c r="M2062" i="1"/>
  <c r="N2061" i="1"/>
  <c r="M2061" i="1"/>
  <c r="N2060" i="1"/>
  <c r="M2060" i="1"/>
  <c r="N2059" i="1"/>
  <c r="M2059" i="1"/>
  <c r="N2058" i="1"/>
  <c r="M2058" i="1"/>
  <c r="N2057" i="1"/>
  <c r="M2057" i="1"/>
  <c r="N2056" i="1"/>
  <c r="M2056" i="1"/>
  <c r="N2055" i="1"/>
  <c r="M2055" i="1"/>
  <c r="N2054" i="1"/>
  <c r="M2054" i="1"/>
  <c r="N2053" i="1"/>
  <c r="M2053" i="1"/>
  <c r="N2052" i="1"/>
  <c r="M2052" i="1"/>
  <c r="N2051" i="1"/>
  <c r="M2051" i="1"/>
  <c r="N2050" i="1"/>
  <c r="M2050" i="1"/>
  <c r="N2049" i="1"/>
  <c r="M2049" i="1"/>
  <c r="N2048" i="1"/>
  <c r="M2048" i="1"/>
  <c r="N2047" i="1"/>
  <c r="M2047" i="1"/>
  <c r="N2046" i="1"/>
  <c r="M2046" i="1"/>
  <c r="N2045" i="1"/>
  <c r="M2045" i="1"/>
  <c r="N2044" i="1"/>
  <c r="M2044" i="1"/>
  <c r="N2043" i="1"/>
  <c r="M2043" i="1"/>
  <c r="N2042" i="1"/>
  <c r="M2042" i="1"/>
  <c r="N2041" i="1"/>
  <c r="M2041" i="1"/>
  <c r="N2040" i="1"/>
  <c r="M2040" i="1"/>
  <c r="N2039" i="1"/>
  <c r="M2039" i="1"/>
  <c r="N2038" i="1"/>
  <c r="M2038" i="1"/>
  <c r="N2037" i="1"/>
  <c r="M2037" i="1"/>
  <c r="N2036" i="1"/>
  <c r="M2036" i="1"/>
  <c r="N2035" i="1"/>
  <c r="M2035" i="1"/>
  <c r="N2034" i="1"/>
  <c r="M2034" i="1"/>
  <c r="N2033" i="1"/>
  <c r="M2033" i="1"/>
  <c r="N2032" i="1"/>
  <c r="M2032" i="1"/>
  <c r="N2031" i="1"/>
  <c r="M2031" i="1"/>
  <c r="N2030" i="1"/>
  <c r="M2030" i="1"/>
  <c r="N2029" i="1"/>
  <c r="M2029" i="1"/>
  <c r="N2028" i="1"/>
  <c r="M2028" i="1"/>
  <c r="N2027" i="1"/>
  <c r="M2027" i="1"/>
  <c r="N2026" i="1"/>
  <c r="M2026" i="1"/>
  <c r="N2025" i="1"/>
  <c r="M2025" i="1"/>
  <c r="N2024" i="1"/>
  <c r="M2024" i="1"/>
  <c r="N2023" i="1"/>
  <c r="M2023" i="1"/>
  <c r="N2022" i="1"/>
  <c r="M2022" i="1"/>
  <c r="N2021" i="1"/>
  <c r="M2021" i="1"/>
  <c r="N2020" i="1"/>
  <c r="M2020" i="1"/>
  <c r="N2019" i="1"/>
  <c r="M2019" i="1"/>
  <c r="N2018" i="1"/>
  <c r="M2018" i="1"/>
  <c r="N2017" i="1"/>
  <c r="M2017" i="1"/>
  <c r="N2016" i="1"/>
  <c r="M2016" i="1"/>
  <c r="N2015" i="1"/>
  <c r="M2015" i="1"/>
  <c r="N2014" i="1"/>
  <c r="M2014" i="1"/>
  <c r="N2013" i="1"/>
  <c r="M2013" i="1"/>
  <c r="N2012" i="1"/>
  <c r="M2012" i="1"/>
  <c r="N2011" i="1"/>
  <c r="M2011" i="1"/>
  <c r="N2010" i="1"/>
  <c r="M2010" i="1"/>
  <c r="N2009" i="1"/>
  <c r="M2009" i="1"/>
  <c r="N2008" i="1"/>
  <c r="M2008" i="1"/>
  <c r="N2007" i="1"/>
  <c r="M2007" i="1"/>
  <c r="N2006" i="1"/>
  <c r="M2006" i="1"/>
  <c r="N2005" i="1"/>
  <c r="M2005" i="1"/>
  <c r="N2004" i="1"/>
  <c r="M2004" i="1"/>
  <c r="N2003" i="1"/>
  <c r="M2003" i="1"/>
  <c r="N2002" i="1"/>
  <c r="M2002" i="1"/>
  <c r="N2001" i="1"/>
  <c r="M2001" i="1"/>
  <c r="N2000" i="1"/>
  <c r="M2000" i="1"/>
  <c r="N1999" i="1"/>
  <c r="M1999" i="1"/>
  <c r="N1998" i="1"/>
  <c r="M1998" i="1"/>
  <c r="N1997" i="1"/>
  <c r="M1997" i="1"/>
  <c r="N1996" i="1"/>
  <c r="M1996" i="1"/>
  <c r="N1995" i="1"/>
  <c r="M1995" i="1"/>
  <c r="N1994" i="1"/>
  <c r="M1994" i="1"/>
  <c r="N1993" i="1"/>
  <c r="M1993" i="1"/>
  <c r="N1992" i="1"/>
  <c r="M1992" i="1"/>
  <c r="N1991" i="1"/>
  <c r="M1991" i="1"/>
  <c r="N1990" i="1"/>
  <c r="M1990" i="1"/>
  <c r="N1989" i="1"/>
  <c r="M1989" i="1"/>
  <c r="N1988" i="1"/>
  <c r="M1988" i="1"/>
  <c r="N1987" i="1"/>
  <c r="M1987" i="1"/>
  <c r="N1986" i="1"/>
  <c r="M1986" i="1"/>
  <c r="N1985" i="1"/>
  <c r="M1985" i="1"/>
  <c r="N1984" i="1"/>
  <c r="M1984" i="1"/>
  <c r="N1983" i="1"/>
  <c r="M1983" i="1"/>
  <c r="N1982" i="1"/>
  <c r="M1982" i="1"/>
  <c r="N1981" i="1"/>
  <c r="M1981" i="1"/>
  <c r="N1980" i="1"/>
  <c r="M1980" i="1"/>
  <c r="N1979" i="1"/>
  <c r="M1979" i="1"/>
  <c r="N1978" i="1"/>
  <c r="M1978" i="1"/>
  <c r="N1977" i="1"/>
  <c r="M1977" i="1"/>
  <c r="N1976" i="1"/>
  <c r="M1976" i="1"/>
  <c r="N1975" i="1"/>
  <c r="M1975" i="1"/>
  <c r="N1974" i="1"/>
  <c r="M1974" i="1"/>
  <c r="N1973" i="1"/>
  <c r="M1973" i="1"/>
  <c r="N1972" i="1"/>
  <c r="M1972" i="1"/>
  <c r="N1971" i="1"/>
  <c r="M1971" i="1"/>
  <c r="N1970" i="1"/>
  <c r="M1970" i="1"/>
  <c r="N1969" i="1"/>
  <c r="M1969" i="1"/>
  <c r="N1968" i="1"/>
  <c r="M1968" i="1"/>
  <c r="N1967" i="1"/>
  <c r="M1967" i="1"/>
  <c r="N1966" i="1"/>
  <c r="M1966" i="1"/>
  <c r="N1965" i="1"/>
  <c r="M1965" i="1"/>
  <c r="N1964" i="1"/>
  <c r="M1964" i="1"/>
  <c r="N1963" i="1"/>
  <c r="M1963" i="1"/>
  <c r="N1962" i="1"/>
  <c r="M1962" i="1"/>
  <c r="N1961" i="1"/>
  <c r="M1961" i="1"/>
  <c r="N1960" i="1"/>
  <c r="M1960" i="1"/>
  <c r="N1959" i="1"/>
  <c r="M1959" i="1"/>
  <c r="N1958" i="1"/>
  <c r="M1958" i="1"/>
  <c r="N1957" i="1"/>
  <c r="M1957" i="1"/>
  <c r="N1956" i="1"/>
  <c r="M1956" i="1"/>
  <c r="N1955" i="1"/>
  <c r="M1955" i="1"/>
  <c r="N1954" i="1"/>
  <c r="M1954" i="1"/>
  <c r="N1953" i="1"/>
  <c r="M1953" i="1"/>
  <c r="N1952" i="1"/>
  <c r="M1952" i="1"/>
  <c r="N1951" i="1"/>
  <c r="M1951" i="1"/>
  <c r="N1950" i="1"/>
  <c r="M1950" i="1"/>
  <c r="N1949" i="1"/>
  <c r="M1949" i="1"/>
  <c r="N1948" i="1"/>
  <c r="M1948" i="1"/>
  <c r="N1947" i="1"/>
  <c r="M1947" i="1"/>
  <c r="N1946" i="1"/>
  <c r="M1946" i="1"/>
  <c r="N1945" i="1"/>
  <c r="M1945" i="1"/>
  <c r="N1944" i="1"/>
  <c r="M1944" i="1"/>
  <c r="N1943" i="1"/>
  <c r="M1943" i="1"/>
  <c r="N1942" i="1"/>
  <c r="M1942" i="1"/>
  <c r="N1941" i="1"/>
  <c r="M1941" i="1"/>
  <c r="N1940" i="1"/>
  <c r="M1940" i="1"/>
  <c r="N1939" i="1"/>
  <c r="M1939" i="1"/>
  <c r="N1938" i="1"/>
  <c r="M1938" i="1"/>
  <c r="N1937" i="1"/>
  <c r="M1937" i="1"/>
  <c r="N1936" i="1"/>
  <c r="M1936" i="1"/>
  <c r="N1935" i="1"/>
  <c r="M1935" i="1"/>
  <c r="N1934" i="1"/>
  <c r="M1934" i="1"/>
  <c r="N1933" i="1"/>
  <c r="M1933" i="1"/>
  <c r="N1932" i="1"/>
  <c r="M1932" i="1"/>
  <c r="N1931" i="1"/>
  <c r="M1931" i="1"/>
  <c r="N1930" i="1"/>
  <c r="M1930" i="1"/>
  <c r="N1929" i="1"/>
  <c r="M1929" i="1"/>
  <c r="N1928" i="1"/>
  <c r="M1928" i="1"/>
  <c r="N1927" i="1"/>
  <c r="M1927" i="1"/>
  <c r="N1926" i="1"/>
  <c r="M1926" i="1"/>
  <c r="N1925" i="1"/>
  <c r="M1925" i="1"/>
  <c r="N1924" i="1"/>
  <c r="M1924" i="1"/>
  <c r="N1923" i="1"/>
  <c r="M1923" i="1"/>
  <c r="N1922" i="1"/>
  <c r="M1922" i="1"/>
  <c r="N1921" i="1"/>
  <c r="M1921" i="1"/>
  <c r="N1920" i="1"/>
  <c r="M1920" i="1"/>
  <c r="N1919" i="1"/>
  <c r="M1919" i="1"/>
  <c r="N1918" i="1"/>
  <c r="M1918" i="1"/>
  <c r="N1917" i="1"/>
  <c r="M1917" i="1"/>
  <c r="N1916" i="1"/>
  <c r="M1916" i="1"/>
  <c r="N1915" i="1"/>
  <c r="M1915" i="1"/>
  <c r="N1914" i="1"/>
  <c r="M1914" i="1"/>
  <c r="N1913" i="1"/>
  <c r="M1913" i="1"/>
  <c r="N1912" i="1"/>
  <c r="M1912" i="1"/>
  <c r="N1911" i="1"/>
  <c r="M1911" i="1"/>
  <c r="N1910" i="1"/>
  <c r="M1910" i="1"/>
  <c r="N1909" i="1"/>
  <c r="M1909" i="1"/>
  <c r="N1908" i="1"/>
  <c r="M1908" i="1"/>
  <c r="N1907" i="1"/>
  <c r="M1907" i="1"/>
  <c r="N1906" i="1"/>
  <c r="M1906" i="1"/>
  <c r="N1905" i="1"/>
  <c r="M1905" i="1"/>
  <c r="N1904" i="1"/>
  <c r="M1904" i="1"/>
  <c r="N1903" i="1"/>
  <c r="M1903" i="1"/>
  <c r="N1902" i="1"/>
  <c r="M1902" i="1"/>
  <c r="N1901" i="1"/>
  <c r="M1901" i="1"/>
  <c r="N1900" i="1"/>
  <c r="M1900" i="1"/>
  <c r="N1899" i="1"/>
  <c r="M1899" i="1"/>
  <c r="N1898" i="1"/>
  <c r="M1898" i="1"/>
  <c r="N1897" i="1"/>
  <c r="M1897" i="1"/>
  <c r="N1896" i="1"/>
  <c r="M1896" i="1"/>
  <c r="N1895" i="1"/>
  <c r="M1895" i="1"/>
  <c r="N1894" i="1"/>
  <c r="M1894" i="1"/>
  <c r="N1893" i="1"/>
  <c r="M1893" i="1"/>
  <c r="N1892" i="1"/>
  <c r="M1892" i="1"/>
  <c r="N1891" i="1"/>
  <c r="M1891" i="1"/>
  <c r="N1890" i="1"/>
  <c r="M1890" i="1"/>
  <c r="N1889" i="1"/>
  <c r="M1889" i="1"/>
  <c r="N1888" i="1"/>
  <c r="M1888" i="1"/>
  <c r="N1887" i="1"/>
  <c r="M1887" i="1"/>
  <c r="N1886" i="1"/>
  <c r="M1886" i="1"/>
  <c r="N1885" i="1"/>
  <c r="M1885" i="1"/>
  <c r="N1884" i="1"/>
  <c r="M1884" i="1"/>
  <c r="N1883" i="1"/>
  <c r="M1883" i="1"/>
  <c r="N1882" i="1"/>
  <c r="M1882" i="1"/>
  <c r="N1881" i="1"/>
  <c r="M1881" i="1"/>
  <c r="N1880" i="1"/>
  <c r="M1880" i="1"/>
  <c r="N1879" i="1"/>
  <c r="M1879" i="1"/>
  <c r="N1878" i="1"/>
  <c r="M1878" i="1"/>
  <c r="N1877" i="1"/>
  <c r="M1877" i="1"/>
  <c r="N1876" i="1"/>
  <c r="M1876" i="1"/>
  <c r="N1875" i="1"/>
  <c r="M1875" i="1"/>
  <c r="N1874" i="1"/>
  <c r="M1874" i="1"/>
  <c r="N1873" i="1"/>
  <c r="M1873" i="1"/>
  <c r="N1872" i="1"/>
  <c r="M1872" i="1"/>
  <c r="N1871" i="1"/>
  <c r="M1871" i="1"/>
  <c r="N1870" i="1"/>
  <c r="M1870" i="1"/>
  <c r="N1869" i="1"/>
  <c r="M1869" i="1"/>
  <c r="N1868" i="1"/>
  <c r="M1868" i="1"/>
  <c r="N1867" i="1"/>
  <c r="M1867" i="1"/>
  <c r="N1866" i="1"/>
  <c r="M1866" i="1"/>
  <c r="N1865" i="1"/>
  <c r="M1865" i="1"/>
  <c r="N1864" i="1"/>
  <c r="M1864" i="1"/>
  <c r="N1863" i="1"/>
  <c r="M1863" i="1"/>
  <c r="N1862" i="1"/>
  <c r="M1862" i="1"/>
  <c r="N1861" i="1"/>
  <c r="M1861" i="1"/>
  <c r="N1860" i="1"/>
  <c r="M1860" i="1"/>
  <c r="N1859" i="1"/>
  <c r="M1859" i="1"/>
  <c r="N1858" i="1"/>
  <c r="M1858" i="1"/>
  <c r="N1857" i="1"/>
  <c r="M1857" i="1"/>
  <c r="N1856" i="1"/>
  <c r="M1856" i="1"/>
  <c r="N1855" i="1"/>
  <c r="M1855" i="1"/>
  <c r="N1854" i="1"/>
  <c r="M1854" i="1"/>
  <c r="N1853" i="1"/>
  <c r="M1853" i="1"/>
  <c r="N1852" i="1"/>
  <c r="M1852" i="1"/>
  <c r="N1851" i="1"/>
  <c r="M1851" i="1"/>
  <c r="N1850" i="1"/>
  <c r="M1850" i="1"/>
  <c r="N1849" i="1"/>
  <c r="M1849" i="1"/>
  <c r="N1848" i="1"/>
  <c r="M1848" i="1"/>
  <c r="N1847" i="1"/>
  <c r="M1847" i="1"/>
  <c r="N1846" i="1"/>
  <c r="M1846" i="1"/>
  <c r="N1845" i="1"/>
  <c r="M1845" i="1"/>
  <c r="N1844" i="1"/>
  <c r="M1844" i="1"/>
  <c r="N1843" i="1"/>
  <c r="M1843" i="1"/>
  <c r="N1842" i="1"/>
  <c r="M1842" i="1"/>
  <c r="N1841" i="1"/>
  <c r="M1841" i="1"/>
  <c r="N1840" i="1"/>
  <c r="M1840" i="1"/>
  <c r="N1839" i="1"/>
  <c r="M1839" i="1"/>
  <c r="N1838" i="1"/>
  <c r="M1838" i="1"/>
  <c r="N1837" i="1"/>
  <c r="M1837" i="1"/>
  <c r="N1836" i="1"/>
  <c r="M1836" i="1"/>
  <c r="N1835" i="1"/>
  <c r="M1835" i="1"/>
  <c r="N1834" i="1"/>
  <c r="M1834" i="1"/>
  <c r="N1833" i="1"/>
  <c r="M1833" i="1"/>
  <c r="N1832" i="1"/>
  <c r="M1832" i="1"/>
  <c r="N1831" i="1"/>
  <c r="M1831" i="1"/>
  <c r="N1830" i="1"/>
  <c r="M1830" i="1"/>
  <c r="N1829" i="1"/>
  <c r="M1829" i="1"/>
  <c r="N1828" i="1"/>
  <c r="M1828" i="1"/>
  <c r="N1827" i="1"/>
  <c r="M1827" i="1"/>
  <c r="N1826" i="1"/>
  <c r="M1826" i="1"/>
  <c r="N1825" i="1"/>
  <c r="M1825" i="1"/>
  <c r="N1824" i="1"/>
  <c r="M1824" i="1"/>
  <c r="N1823" i="1"/>
  <c r="M1823" i="1"/>
  <c r="N1822" i="1"/>
  <c r="M1822" i="1"/>
  <c r="N1821" i="1"/>
  <c r="M1821" i="1"/>
  <c r="N1820" i="1"/>
  <c r="M1820" i="1"/>
  <c r="N1819" i="1"/>
  <c r="M1819" i="1"/>
  <c r="N1818" i="1"/>
  <c r="M1818" i="1"/>
  <c r="N1817" i="1"/>
  <c r="M1817" i="1"/>
  <c r="N1816" i="1"/>
  <c r="M1816" i="1"/>
  <c r="N1815" i="1"/>
  <c r="M1815" i="1"/>
  <c r="N1814" i="1"/>
  <c r="M1814" i="1"/>
  <c r="N1813" i="1"/>
  <c r="M1813" i="1"/>
  <c r="N1812" i="1"/>
  <c r="M1812" i="1"/>
  <c r="N1811" i="1"/>
  <c r="M1811" i="1"/>
  <c r="N1810" i="1"/>
  <c r="M1810" i="1"/>
  <c r="N1809" i="1"/>
  <c r="M1809" i="1"/>
  <c r="N1808" i="1"/>
  <c r="M1808" i="1"/>
  <c r="N1807" i="1"/>
  <c r="M1807" i="1"/>
  <c r="N1806" i="1"/>
  <c r="M1806" i="1"/>
  <c r="N1805" i="1"/>
  <c r="M1805" i="1"/>
  <c r="N1804" i="1"/>
  <c r="M1804" i="1"/>
  <c r="N1803" i="1"/>
  <c r="M1803" i="1"/>
  <c r="N1802" i="1"/>
  <c r="M1802" i="1"/>
  <c r="N1801" i="1"/>
  <c r="M1801" i="1"/>
  <c r="N1800" i="1"/>
  <c r="M1800" i="1"/>
  <c r="N1799" i="1"/>
  <c r="M1799" i="1"/>
  <c r="N1798" i="1"/>
  <c r="M1798" i="1"/>
  <c r="N1797" i="1"/>
  <c r="M1797" i="1"/>
  <c r="N1796" i="1"/>
  <c r="M1796" i="1"/>
  <c r="N1795" i="1"/>
  <c r="M1795" i="1"/>
  <c r="N1794" i="1"/>
  <c r="M1794" i="1"/>
  <c r="N1793" i="1"/>
  <c r="M1793" i="1"/>
  <c r="N1792" i="1"/>
  <c r="M1792" i="1"/>
  <c r="N1791" i="1"/>
  <c r="M1791" i="1"/>
  <c r="N1790" i="1"/>
  <c r="M1790" i="1"/>
  <c r="N1789" i="1"/>
  <c r="M1789" i="1"/>
  <c r="N1788" i="1"/>
  <c r="M1788" i="1"/>
  <c r="N1787" i="1"/>
  <c r="M1787" i="1"/>
  <c r="N1786" i="1"/>
  <c r="M1786" i="1"/>
  <c r="N1785" i="1"/>
  <c r="M1785" i="1"/>
  <c r="N1784" i="1"/>
  <c r="M1784" i="1"/>
  <c r="N1783" i="1"/>
  <c r="M1783" i="1"/>
  <c r="N1782" i="1"/>
  <c r="M1782" i="1"/>
  <c r="N1781" i="1"/>
  <c r="M1781" i="1"/>
  <c r="N1780" i="1"/>
  <c r="M1780" i="1"/>
  <c r="N1779" i="1"/>
  <c r="M1779" i="1"/>
  <c r="N1778" i="1"/>
  <c r="M1778" i="1"/>
  <c r="N1777" i="1"/>
  <c r="M1777" i="1"/>
  <c r="N1776" i="1"/>
  <c r="M1776" i="1"/>
  <c r="N1775" i="1"/>
  <c r="M1775" i="1"/>
  <c r="N1774" i="1"/>
  <c r="M1774" i="1"/>
  <c r="N1773" i="1"/>
  <c r="M1773" i="1"/>
  <c r="N1772" i="1"/>
  <c r="M1772" i="1"/>
  <c r="N1771" i="1"/>
  <c r="M1771" i="1"/>
  <c r="N1770" i="1"/>
  <c r="M1770" i="1"/>
  <c r="N1769" i="1"/>
  <c r="M1769" i="1"/>
  <c r="N1768" i="1"/>
  <c r="M1768" i="1"/>
  <c r="N1767" i="1"/>
  <c r="M1767" i="1"/>
  <c r="N1766" i="1"/>
  <c r="M1766" i="1"/>
  <c r="N1765" i="1"/>
  <c r="M1765" i="1"/>
  <c r="N1764" i="1"/>
  <c r="M1764" i="1"/>
  <c r="N1763" i="1"/>
  <c r="M1763" i="1"/>
  <c r="N1762" i="1"/>
  <c r="M1762" i="1"/>
  <c r="N1761" i="1"/>
  <c r="M1761" i="1"/>
  <c r="N1760" i="1"/>
  <c r="M1760" i="1"/>
  <c r="N1759" i="1"/>
  <c r="M1759" i="1"/>
  <c r="N1758" i="1"/>
  <c r="M1758" i="1"/>
  <c r="N1757" i="1"/>
  <c r="M1757" i="1"/>
  <c r="N1756" i="1"/>
  <c r="M1756" i="1"/>
  <c r="N1755" i="1"/>
  <c r="M1755" i="1"/>
  <c r="N1754" i="1"/>
  <c r="M1754" i="1"/>
  <c r="N1753" i="1"/>
  <c r="M1753" i="1"/>
  <c r="N1752" i="1"/>
  <c r="M1752" i="1"/>
  <c r="N1751" i="1"/>
  <c r="M1751" i="1"/>
  <c r="N1750" i="1"/>
  <c r="M1750" i="1"/>
  <c r="N1749" i="1"/>
  <c r="M1749" i="1"/>
  <c r="N1748" i="1"/>
  <c r="M1748" i="1"/>
  <c r="N1747" i="1"/>
  <c r="M1747" i="1"/>
  <c r="N1746" i="1"/>
  <c r="M1746" i="1"/>
  <c r="N1745" i="1"/>
  <c r="M1745" i="1"/>
  <c r="N1744" i="1"/>
  <c r="M1744" i="1"/>
  <c r="N1743" i="1"/>
  <c r="M1743" i="1"/>
  <c r="N1742" i="1"/>
  <c r="M1742" i="1"/>
  <c r="N1741" i="1"/>
  <c r="M1741" i="1"/>
  <c r="N1740" i="1"/>
  <c r="M1740" i="1"/>
  <c r="N1739" i="1"/>
  <c r="M1739" i="1"/>
  <c r="N1738" i="1"/>
  <c r="M1738" i="1"/>
  <c r="N1737" i="1"/>
  <c r="M1737" i="1"/>
  <c r="N1736" i="1"/>
  <c r="M1736" i="1"/>
  <c r="N1735" i="1"/>
  <c r="M1735" i="1"/>
  <c r="N1734" i="1"/>
  <c r="M1734" i="1"/>
  <c r="N1733" i="1"/>
  <c r="M1733" i="1"/>
  <c r="N1732" i="1"/>
  <c r="M1732" i="1"/>
  <c r="N1731" i="1"/>
  <c r="M1731" i="1"/>
  <c r="N1730" i="1"/>
  <c r="M1730" i="1"/>
  <c r="N1729" i="1"/>
  <c r="M1729" i="1"/>
  <c r="N1728" i="1"/>
  <c r="M1728" i="1"/>
  <c r="N1727" i="1"/>
  <c r="M1727" i="1"/>
  <c r="N1726" i="1"/>
  <c r="M1726" i="1"/>
  <c r="N1725" i="1"/>
  <c r="M1725" i="1"/>
  <c r="N1724" i="1"/>
  <c r="M1724" i="1"/>
  <c r="N1723" i="1"/>
  <c r="M1723" i="1"/>
  <c r="N1722" i="1"/>
  <c r="M1722" i="1"/>
  <c r="N1721" i="1"/>
  <c r="M1721" i="1"/>
  <c r="N1720" i="1"/>
  <c r="M1720" i="1"/>
  <c r="N1719" i="1"/>
  <c r="M1719" i="1"/>
  <c r="N1718" i="1"/>
  <c r="M1718" i="1"/>
  <c r="N1717" i="1"/>
  <c r="M1717" i="1"/>
  <c r="N1716" i="1"/>
  <c r="M1716" i="1"/>
  <c r="N1715" i="1"/>
  <c r="M1715" i="1"/>
  <c r="N1714" i="1"/>
  <c r="M1714" i="1"/>
  <c r="N1713" i="1"/>
  <c r="M1713" i="1"/>
  <c r="N1712" i="1"/>
  <c r="M1712" i="1"/>
  <c r="N1711" i="1"/>
  <c r="M1711" i="1"/>
  <c r="N1710" i="1"/>
  <c r="M1710" i="1"/>
  <c r="N1709" i="1"/>
  <c r="M1709" i="1"/>
  <c r="N1708" i="1"/>
  <c r="M1708" i="1"/>
  <c r="N1707" i="1"/>
  <c r="M1707" i="1"/>
  <c r="N1706" i="1"/>
  <c r="M1706" i="1"/>
  <c r="N1705" i="1"/>
  <c r="M1705" i="1"/>
  <c r="N1704" i="1"/>
  <c r="M1704" i="1"/>
  <c r="N1703" i="1"/>
  <c r="M1703" i="1"/>
  <c r="N1702" i="1"/>
  <c r="M1702" i="1"/>
  <c r="N1701" i="1"/>
  <c r="M1701" i="1"/>
  <c r="N1700" i="1"/>
  <c r="M1700" i="1"/>
  <c r="N1699" i="1"/>
  <c r="M1699" i="1"/>
  <c r="N1698" i="1"/>
  <c r="M1698" i="1"/>
  <c r="N1697" i="1"/>
  <c r="M1697" i="1"/>
  <c r="N1696" i="1"/>
  <c r="M1696" i="1"/>
  <c r="N1695" i="1"/>
  <c r="M1695" i="1"/>
  <c r="N1694" i="1"/>
  <c r="M1694" i="1"/>
  <c r="N1693" i="1"/>
  <c r="M1693" i="1"/>
  <c r="N1692" i="1"/>
  <c r="M1692" i="1"/>
  <c r="N1691" i="1"/>
  <c r="M1691" i="1"/>
  <c r="N1690" i="1"/>
  <c r="M1690" i="1"/>
  <c r="N1689" i="1"/>
  <c r="M1689" i="1"/>
  <c r="N1688" i="1"/>
  <c r="M1688" i="1"/>
  <c r="N1687" i="1"/>
  <c r="M1687" i="1"/>
  <c r="N1686" i="1"/>
  <c r="M1686" i="1"/>
  <c r="N1685" i="1"/>
  <c r="M1685" i="1"/>
  <c r="N1684" i="1"/>
  <c r="M1684" i="1"/>
  <c r="N1683" i="1"/>
  <c r="M1683" i="1"/>
  <c r="N1682" i="1"/>
  <c r="M1682" i="1"/>
  <c r="N1681" i="1"/>
  <c r="M1681" i="1"/>
  <c r="N1680" i="1"/>
  <c r="M1680" i="1"/>
  <c r="N1679" i="1"/>
  <c r="M1679" i="1"/>
  <c r="N1678" i="1"/>
  <c r="M1678" i="1"/>
  <c r="N1677" i="1"/>
  <c r="M1677" i="1"/>
  <c r="N1676" i="1"/>
  <c r="M1676" i="1"/>
  <c r="N1675" i="1"/>
  <c r="M1675" i="1"/>
  <c r="N1674" i="1"/>
  <c r="M1674" i="1"/>
  <c r="N1673" i="1"/>
  <c r="M1673" i="1"/>
  <c r="N1672" i="1"/>
  <c r="M1672" i="1"/>
  <c r="N1671" i="1"/>
  <c r="M1671" i="1"/>
  <c r="N1670" i="1"/>
  <c r="M1670" i="1"/>
  <c r="N1669" i="1"/>
  <c r="M1669" i="1"/>
  <c r="N1668" i="1"/>
  <c r="M1668" i="1"/>
  <c r="N1667" i="1"/>
  <c r="M1667" i="1"/>
  <c r="N1666" i="1"/>
  <c r="M1666" i="1"/>
  <c r="N1665" i="1"/>
  <c r="M1665" i="1"/>
  <c r="N1664" i="1"/>
  <c r="M1664" i="1"/>
  <c r="N1663" i="1"/>
  <c r="M1663" i="1"/>
  <c r="N1662" i="1"/>
  <c r="M1662" i="1"/>
  <c r="N1661" i="1"/>
  <c r="M1661" i="1"/>
  <c r="N1660" i="1"/>
  <c r="M1660" i="1"/>
  <c r="N1659" i="1"/>
  <c r="M1659" i="1"/>
  <c r="N1658" i="1"/>
  <c r="M1658" i="1"/>
  <c r="N1657" i="1"/>
  <c r="M1657" i="1"/>
  <c r="N1656" i="1"/>
  <c r="M1656" i="1"/>
  <c r="N1655" i="1"/>
  <c r="M1655" i="1"/>
  <c r="N1654" i="1"/>
  <c r="M1654" i="1"/>
  <c r="N1653" i="1"/>
  <c r="M1653" i="1"/>
  <c r="N1652" i="1"/>
  <c r="M1652" i="1"/>
  <c r="N1651" i="1"/>
  <c r="M1651" i="1"/>
  <c r="N1650" i="1"/>
  <c r="M1650" i="1"/>
  <c r="N1649" i="1"/>
  <c r="M1649" i="1"/>
  <c r="N1648" i="1"/>
  <c r="M1648" i="1"/>
  <c r="N1647" i="1"/>
  <c r="M1647" i="1"/>
  <c r="N1646" i="1"/>
  <c r="M1646" i="1"/>
  <c r="N1645" i="1"/>
  <c r="M1645" i="1"/>
  <c r="N1644" i="1"/>
  <c r="M1644" i="1"/>
  <c r="N1643" i="1"/>
  <c r="M1643" i="1"/>
  <c r="N1642" i="1"/>
  <c r="M1642" i="1"/>
  <c r="N1641" i="1"/>
  <c r="M1641" i="1"/>
  <c r="N1640" i="1"/>
  <c r="M1640" i="1"/>
  <c r="N1639" i="1"/>
  <c r="M1639" i="1"/>
  <c r="N1638" i="1"/>
  <c r="M1638" i="1"/>
  <c r="N1637" i="1"/>
  <c r="M1637" i="1"/>
  <c r="N1636" i="1"/>
  <c r="M1636" i="1"/>
  <c r="N1635" i="1"/>
  <c r="M1635" i="1"/>
  <c r="N1634" i="1"/>
  <c r="M1634" i="1"/>
  <c r="N1633" i="1"/>
  <c r="M1633" i="1"/>
  <c r="N1632" i="1"/>
  <c r="M1632" i="1"/>
  <c r="N1631" i="1"/>
  <c r="M1631" i="1"/>
  <c r="N1630" i="1"/>
  <c r="M1630" i="1"/>
  <c r="N1629" i="1"/>
  <c r="M1629" i="1"/>
  <c r="N1628" i="1"/>
  <c r="M1628" i="1"/>
  <c r="N1627" i="1"/>
  <c r="M1627" i="1"/>
  <c r="N1626" i="1"/>
  <c r="M1626" i="1"/>
  <c r="N1625" i="1"/>
  <c r="M1625" i="1"/>
  <c r="N1624" i="1"/>
  <c r="M1624" i="1"/>
  <c r="N1623" i="1"/>
  <c r="M1623" i="1"/>
  <c r="N1622" i="1"/>
  <c r="M1622" i="1"/>
  <c r="N1621" i="1"/>
  <c r="M1621" i="1"/>
  <c r="N1620" i="1"/>
  <c r="M1620" i="1"/>
  <c r="N1619" i="1"/>
  <c r="M1619" i="1"/>
  <c r="N1618" i="1"/>
  <c r="M1618" i="1"/>
  <c r="N1617" i="1"/>
  <c r="M1617" i="1"/>
  <c r="N1616" i="1"/>
  <c r="M1616" i="1"/>
  <c r="N1615" i="1"/>
  <c r="M1615" i="1"/>
  <c r="N1614" i="1"/>
  <c r="M1614" i="1"/>
  <c r="N1613" i="1"/>
  <c r="M1613" i="1"/>
  <c r="N1612" i="1"/>
  <c r="M1612" i="1"/>
  <c r="N1611" i="1"/>
  <c r="M1611" i="1"/>
  <c r="N1610" i="1"/>
  <c r="M1610" i="1"/>
  <c r="N1609" i="1"/>
  <c r="M1609" i="1"/>
  <c r="N1608" i="1"/>
  <c r="M1608" i="1"/>
  <c r="N1607" i="1"/>
  <c r="M1607" i="1"/>
  <c r="N1606" i="1"/>
  <c r="M1606" i="1"/>
  <c r="N1605" i="1"/>
  <c r="M1605" i="1"/>
  <c r="N1604" i="1"/>
  <c r="M1604" i="1"/>
  <c r="N1603" i="1"/>
  <c r="M1603" i="1"/>
  <c r="N1602" i="1"/>
  <c r="M1602" i="1"/>
  <c r="N1601" i="1"/>
  <c r="M1601" i="1"/>
  <c r="N1600" i="1"/>
  <c r="M1600" i="1"/>
  <c r="N1599" i="1"/>
  <c r="M1599" i="1"/>
  <c r="N1598" i="1"/>
  <c r="M1598" i="1"/>
  <c r="N1597" i="1"/>
  <c r="M1597" i="1"/>
  <c r="N1596" i="1"/>
  <c r="M1596" i="1"/>
  <c r="N1595" i="1"/>
  <c r="M1595" i="1"/>
  <c r="N1594" i="1"/>
  <c r="M1594" i="1"/>
  <c r="N1593" i="1"/>
  <c r="M1593" i="1"/>
  <c r="N1592" i="1"/>
  <c r="M1592" i="1"/>
  <c r="N1591" i="1"/>
  <c r="M1591" i="1"/>
  <c r="N1590" i="1"/>
  <c r="M1590" i="1"/>
  <c r="N1589" i="1"/>
  <c r="M1589" i="1"/>
  <c r="N1588" i="1"/>
  <c r="M1588" i="1"/>
  <c r="N1587" i="1"/>
  <c r="M1587" i="1"/>
  <c r="N1586" i="1"/>
  <c r="M1586" i="1"/>
  <c r="N1585" i="1"/>
  <c r="M1585" i="1"/>
  <c r="N1584" i="1"/>
  <c r="M1584" i="1"/>
  <c r="N1583" i="1"/>
  <c r="M1583" i="1"/>
  <c r="N1582" i="1"/>
  <c r="M1582" i="1"/>
  <c r="N1581" i="1"/>
  <c r="M1581" i="1"/>
  <c r="N1580" i="1"/>
  <c r="M1580" i="1"/>
  <c r="N1579" i="1"/>
  <c r="M1579" i="1"/>
  <c r="N1578" i="1"/>
  <c r="M1578" i="1"/>
  <c r="N1577" i="1"/>
  <c r="M1577" i="1"/>
  <c r="N1576" i="1"/>
  <c r="M1576" i="1"/>
  <c r="N1575" i="1"/>
  <c r="M1575" i="1"/>
  <c r="N1574" i="1"/>
  <c r="M1574" i="1"/>
  <c r="N1573" i="1"/>
  <c r="M1573" i="1"/>
  <c r="N1572" i="1"/>
  <c r="M1572" i="1"/>
  <c r="N1571" i="1"/>
  <c r="M1571" i="1"/>
  <c r="N1570" i="1"/>
  <c r="M1570" i="1"/>
  <c r="N1569" i="1"/>
  <c r="M1569" i="1"/>
  <c r="N1568" i="1"/>
  <c r="M1568" i="1"/>
  <c r="N1567" i="1"/>
  <c r="M1567" i="1"/>
  <c r="N1566" i="1"/>
  <c r="M1566" i="1"/>
  <c r="N1565" i="1"/>
  <c r="M1565" i="1"/>
  <c r="N1564" i="1"/>
  <c r="M1564" i="1"/>
  <c r="N1563" i="1"/>
  <c r="M1563" i="1"/>
  <c r="N1562" i="1"/>
  <c r="M1562" i="1"/>
  <c r="N1561" i="1"/>
  <c r="M1561" i="1"/>
  <c r="N1560" i="1"/>
  <c r="M1560" i="1"/>
  <c r="N1559" i="1"/>
  <c r="M1559" i="1"/>
  <c r="N1558" i="1"/>
  <c r="M1558" i="1"/>
  <c r="N1557" i="1"/>
  <c r="M1557" i="1"/>
  <c r="N1556" i="1"/>
  <c r="M1556" i="1"/>
  <c r="N1555" i="1"/>
  <c r="M1555" i="1"/>
  <c r="N1554" i="1"/>
  <c r="M1554" i="1"/>
  <c r="N1553" i="1"/>
  <c r="M1553" i="1"/>
  <c r="N1552" i="1"/>
  <c r="M1552" i="1"/>
  <c r="N1551" i="1"/>
  <c r="M1551" i="1"/>
  <c r="N1550" i="1"/>
  <c r="M1550" i="1"/>
  <c r="N1549" i="1"/>
  <c r="M1549" i="1"/>
  <c r="N1548" i="1"/>
  <c r="M1548" i="1"/>
  <c r="N1547" i="1"/>
  <c r="M1547" i="1"/>
  <c r="N1546" i="1"/>
  <c r="M1546" i="1"/>
  <c r="N1545" i="1"/>
  <c r="M1545" i="1"/>
  <c r="N1544" i="1"/>
  <c r="M1544" i="1"/>
  <c r="N1543" i="1"/>
  <c r="M1543" i="1"/>
  <c r="N1542" i="1"/>
  <c r="M1542" i="1"/>
  <c r="N1541" i="1"/>
  <c r="M1541" i="1"/>
  <c r="N1540" i="1"/>
  <c r="M1540" i="1"/>
  <c r="N1539" i="1"/>
  <c r="M1539" i="1"/>
  <c r="N1538" i="1"/>
  <c r="M1538" i="1"/>
  <c r="N1537" i="1"/>
  <c r="M1537" i="1"/>
  <c r="N1536" i="1"/>
  <c r="M1536" i="1"/>
  <c r="N1535" i="1"/>
  <c r="M1535" i="1"/>
  <c r="N1534" i="1"/>
  <c r="M1534" i="1"/>
  <c r="N1533" i="1"/>
  <c r="M1533" i="1"/>
  <c r="N1532" i="1"/>
  <c r="M1532" i="1"/>
  <c r="N1531" i="1"/>
  <c r="M1531" i="1"/>
  <c r="N1530" i="1"/>
  <c r="M1530" i="1"/>
  <c r="N1529" i="1"/>
  <c r="M1529" i="1"/>
  <c r="N1528" i="1"/>
  <c r="M1528" i="1"/>
  <c r="N1527" i="1"/>
  <c r="M1527" i="1"/>
  <c r="N1526" i="1"/>
  <c r="M1526" i="1"/>
  <c r="N1525" i="1"/>
  <c r="M1525" i="1"/>
  <c r="N1524" i="1"/>
  <c r="M1524" i="1"/>
  <c r="N1523" i="1"/>
  <c r="M1523" i="1"/>
  <c r="N1522" i="1"/>
  <c r="M1522" i="1"/>
  <c r="N1521" i="1"/>
  <c r="M1521" i="1"/>
  <c r="N1520" i="1"/>
  <c r="M1520" i="1"/>
  <c r="N1519" i="1"/>
  <c r="M1519" i="1"/>
  <c r="N1518" i="1"/>
  <c r="M1518" i="1"/>
  <c r="N1517" i="1"/>
  <c r="M1517" i="1"/>
  <c r="N1516" i="1"/>
  <c r="M1516" i="1"/>
  <c r="N1515" i="1"/>
  <c r="M1515" i="1"/>
  <c r="N1514" i="1"/>
  <c r="M1514" i="1"/>
  <c r="N1513" i="1"/>
  <c r="M1513" i="1"/>
  <c r="N1512" i="1"/>
  <c r="M1512" i="1"/>
  <c r="N1511" i="1"/>
  <c r="M1511" i="1"/>
  <c r="N1510" i="1"/>
  <c r="M1510" i="1"/>
  <c r="N1509" i="1"/>
  <c r="M1509" i="1"/>
  <c r="N1508" i="1"/>
  <c r="M1508" i="1"/>
  <c r="N1507" i="1"/>
  <c r="M1507" i="1"/>
  <c r="N1506" i="1"/>
  <c r="M1506" i="1"/>
  <c r="N1505" i="1"/>
  <c r="M1505" i="1"/>
  <c r="N1504" i="1"/>
  <c r="M1504" i="1"/>
  <c r="N1503" i="1"/>
  <c r="M1503" i="1"/>
  <c r="N1502" i="1"/>
  <c r="M1502" i="1"/>
  <c r="N1501" i="1"/>
  <c r="M1501" i="1"/>
  <c r="N1500" i="1"/>
  <c r="M1500" i="1"/>
  <c r="N1499" i="1"/>
  <c r="M1499" i="1"/>
  <c r="N1498" i="1"/>
  <c r="M1498" i="1"/>
  <c r="N1497" i="1"/>
  <c r="M1497" i="1"/>
  <c r="N1496" i="1"/>
  <c r="M1496" i="1"/>
  <c r="N1495" i="1"/>
  <c r="M1495" i="1"/>
  <c r="N1494" i="1"/>
  <c r="M1494" i="1"/>
  <c r="N1493" i="1"/>
  <c r="M1493" i="1"/>
  <c r="N1492" i="1"/>
  <c r="M1492" i="1"/>
  <c r="N1491" i="1"/>
  <c r="M1491" i="1"/>
  <c r="N1490" i="1"/>
  <c r="M1490" i="1"/>
  <c r="N1489" i="1"/>
  <c r="M1489" i="1"/>
  <c r="N1488" i="1"/>
  <c r="M1488" i="1"/>
  <c r="N1487" i="1"/>
  <c r="M1487" i="1"/>
  <c r="N1486" i="1"/>
  <c r="M1486" i="1"/>
  <c r="N1485" i="1"/>
  <c r="M1485" i="1"/>
  <c r="N1484" i="1"/>
  <c r="M1484" i="1"/>
  <c r="N1483" i="1"/>
  <c r="M1483" i="1"/>
  <c r="N1482" i="1"/>
  <c r="M1482" i="1"/>
  <c r="N1481" i="1"/>
  <c r="M1481" i="1"/>
  <c r="N1480" i="1"/>
  <c r="M1480" i="1"/>
  <c r="N1479" i="1"/>
  <c r="M1479" i="1"/>
  <c r="N1478" i="1"/>
  <c r="M1478" i="1"/>
  <c r="N1477" i="1"/>
  <c r="M1477" i="1"/>
  <c r="N1476" i="1"/>
  <c r="M1476" i="1"/>
  <c r="N1475" i="1"/>
  <c r="M1475" i="1"/>
  <c r="N1474" i="1"/>
  <c r="M1474" i="1"/>
  <c r="N1473" i="1"/>
  <c r="M1473" i="1"/>
  <c r="N1472" i="1"/>
  <c r="M1472" i="1"/>
  <c r="N1471" i="1"/>
  <c r="M1471" i="1"/>
  <c r="N1470" i="1"/>
  <c r="M1470" i="1"/>
  <c r="N1469" i="1"/>
  <c r="M1469" i="1"/>
  <c r="N1468" i="1"/>
  <c r="M1468" i="1"/>
  <c r="N1467" i="1"/>
  <c r="M1467" i="1"/>
  <c r="N1466" i="1"/>
  <c r="M1466" i="1"/>
  <c r="N1465" i="1"/>
  <c r="M1465" i="1"/>
  <c r="N1464" i="1"/>
  <c r="M1464" i="1"/>
  <c r="N1463" i="1"/>
  <c r="M1463" i="1"/>
  <c r="N1462" i="1"/>
  <c r="M1462" i="1"/>
  <c r="N1461" i="1"/>
  <c r="M1461" i="1"/>
  <c r="N1460" i="1"/>
  <c r="M1460" i="1"/>
  <c r="N1459" i="1"/>
  <c r="M1459" i="1"/>
  <c r="N1458" i="1"/>
  <c r="M1458" i="1"/>
  <c r="N1457" i="1"/>
  <c r="M1457" i="1"/>
  <c r="N1456" i="1"/>
  <c r="M1456" i="1"/>
  <c r="N1455" i="1"/>
  <c r="M1455" i="1"/>
  <c r="N1454" i="1"/>
  <c r="M1454" i="1"/>
  <c r="N1453" i="1"/>
  <c r="M1453" i="1"/>
  <c r="N1452" i="1"/>
  <c r="M1452" i="1"/>
  <c r="N1451" i="1"/>
  <c r="M1451" i="1"/>
  <c r="N1450" i="1"/>
  <c r="M1450" i="1"/>
  <c r="N1449" i="1"/>
  <c r="M1449" i="1"/>
  <c r="N1448" i="1"/>
  <c r="M1448" i="1"/>
  <c r="N1447" i="1"/>
  <c r="M1447" i="1"/>
  <c r="N1446" i="1"/>
  <c r="M1446" i="1"/>
  <c r="N1445" i="1"/>
  <c r="M1445" i="1"/>
  <c r="N1444" i="1"/>
  <c r="M1444" i="1"/>
  <c r="N1443" i="1"/>
  <c r="M1443" i="1"/>
  <c r="N1442" i="1"/>
  <c r="M1442" i="1"/>
  <c r="N1441" i="1"/>
  <c r="M1441" i="1"/>
  <c r="N1440" i="1"/>
  <c r="M1440" i="1"/>
  <c r="N1439" i="1"/>
  <c r="M1439" i="1"/>
  <c r="N1438" i="1"/>
  <c r="M1438" i="1"/>
  <c r="N1437" i="1"/>
  <c r="M1437" i="1"/>
  <c r="N1436" i="1"/>
  <c r="M1436" i="1"/>
  <c r="N1435" i="1"/>
  <c r="M1435" i="1"/>
  <c r="N1434" i="1"/>
  <c r="M1434" i="1"/>
  <c r="N1433" i="1"/>
  <c r="M1433" i="1"/>
  <c r="N1432" i="1"/>
  <c r="M1432" i="1"/>
  <c r="N1431" i="1"/>
  <c r="M1431" i="1"/>
  <c r="N1430" i="1"/>
  <c r="M1430" i="1"/>
  <c r="N1429" i="1"/>
  <c r="M1429" i="1"/>
  <c r="N1428" i="1"/>
  <c r="M1428" i="1"/>
  <c r="N1427" i="1"/>
  <c r="M1427" i="1"/>
  <c r="N1426" i="1"/>
  <c r="M1426" i="1"/>
  <c r="N1425" i="1"/>
  <c r="M1425" i="1"/>
  <c r="N1424" i="1"/>
  <c r="M1424" i="1"/>
  <c r="N1423" i="1"/>
  <c r="M1423" i="1"/>
  <c r="N1422" i="1"/>
  <c r="M1422" i="1"/>
  <c r="N1421" i="1"/>
  <c r="M1421" i="1"/>
  <c r="N1420" i="1"/>
  <c r="M1420" i="1"/>
  <c r="N1419" i="1"/>
  <c r="M1419" i="1"/>
  <c r="N1418" i="1"/>
  <c r="M1418" i="1"/>
  <c r="N1417" i="1"/>
  <c r="M1417" i="1"/>
  <c r="N1416" i="1"/>
  <c r="M1416" i="1"/>
  <c r="N1415" i="1"/>
  <c r="M1415" i="1"/>
  <c r="N1414" i="1"/>
  <c r="M1414" i="1"/>
  <c r="N1413" i="1"/>
  <c r="M1413" i="1"/>
  <c r="N1412" i="1"/>
  <c r="M1412" i="1"/>
  <c r="N1411" i="1"/>
  <c r="M1411" i="1"/>
  <c r="N1410" i="1"/>
  <c r="M1410" i="1"/>
  <c r="N1409" i="1"/>
  <c r="M1409" i="1"/>
  <c r="N1408" i="1"/>
  <c r="M1408" i="1"/>
  <c r="N1407" i="1"/>
  <c r="M1407" i="1"/>
  <c r="N1406" i="1"/>
  <c r="M1406" i="1"/>
  <c r="N1405" i="1"/>
  <c r="M1405" i="1"/>
  <c r="N1404" i="1"/>
  <c r="M1404" i="1"/>
  <c r="N1403" i="1"/>
  <c r="M1403" i="1"/>
  <c r="N1402" i="1"/>
  <c r="M1402" i="1"/>
  <c r="N1401" i="1"/>
  <c r="M1401" i="1"/>
  <c r="N1400" i="1"/>
  <c r="M1400" i="1"/>
  <c r="N1399" i="1"/>
  <c r="M1399" i="1"/>
  <c r="N1398" i="1"/>
  <c r="M1398" i="1"/>
  <c r="N1397" i="1"/>
  <c r="M1397" i="1"/>
  <c r="N1396" i="1"/>
  <c r="M1396" i="1"/>
  <c r="N1395" i="1"/>
  <c r="M1395" i="1"/>
  <c r="N1394" i="1"/>
  <c r="M1394" i="1"/>
  <c r="N1393" i="1"/>
  <c r="M1393" i="1"/>
  <c r="N1392" i="1"/>
  <c r="M1392" i="1"/>
  <c r="N1391" i="1"/>
  <c r="M1391" i="1"/>
  <c r="N1390" i="1"/>
  <c r="M1390" i="1"/>
  <c r="N1389" i="1"/>
  <c r="M1389" i="1"/>
  <c r="N1388" i="1"/>
  <c r="M1388" i="1"/>
  <c r="N1387" i="1"/>
  <c r="M1387" i="1"/>
  <c r="N1386" i="1"/>
  <c r="M1386" i="1"/>
  <c r="N1385" i="1"/>
  <c r="M1385" i="1"/>
  <c r="N1384" i="1"/>
  <c r="M1384" i="1"/>
  <c r="N1383" i="1"/>
  <c r="M1383" i="1"/>
  <c r="N1382" i="1"/>
  <c r="M1382" i="1"/>
  <c r="N1381" i="1"/>
  <c r="M1381" i="1"/>
  <c r="N1380" i="1"/>
  <c r="M1380" i="1"/>
  <c r="N1379" i="1"/>
  <c r="M1379" i="1"/>
  <c r="N1378" i="1"/>
  <c r="M1378" i="1"/>
  <c r="N1377" i="1"/>
  <c r="M1377" i="1"/>
  <c r="N1376" i="1"/>
  <c r="M1376" i="1"/>
  <c r="N1375" i="1"/>
  <c r="M1375" i="1"/>
  <c r="N1374" i="1"/>
  <c r="M1374" i="1"/>
  <c r="N1373" i="1"/>
  <c r="M1373" i="1"/>
  <c r="N1372" i="1"/>
  <c r="M1372" i="1"/>
  <c r="N1371" i="1"/>
  <c r="M1371" i="1"/>
  <c r="N1370" i="1"/>
  <c r="M1370" i="1"/>
  <c r="N1369" i="1"/>
  <c r="M1369" i="1"/>
  <c r="N1368" i="1"/>
  <c r="M1368" i="1"/>
  <c r="N1367" i="1"/>
  <c r="M1367" i="1"/>
  <c r="N1366" i="1"/>
  <c r="M1366" i="1"/>
  <c r="N1365" i="1"/>
  <c r="M1365" i="1"/>
  <c r="N1364" i="1"/>
  <c r="M1364" i="1"/>
  <c r="N1363" i="1"/>
  <c r="M1363" i="1"/>
  <c r="N1362" i="1"/>
  <c r="M1362" i="1"/>
  <c r="N1361" i="1"/>
  <c r="M1361" i="1"/>
  <c r="N1360" i="1"/>
  <c r="M1360" i="1"/>
  <c r="N1359" i="1"/>
  <c r="M1359" i="1"/>
  <c r="N1358" i="1"/>
  <c r="M1358" i="1"/>
  <c r="N1357" i="1"/>
  <c r="M1357" i="1"/>
  <c r="N1356" i="1"/>
  <c r="M1356" i="1"/>
  <c r="N1355" i="1"/>
  <c r="M1355" i="1"/>
  <c r="N1354" i="1"/>
  <c r="M1354" i="1"/>
  <c r="N1353" i="1"/>
  <c r="M1353" i="1"/>
  <c r="N1352" i="1"/>
  <c r="M1352" i="1"/>
  <c r="N1351" i="1"/>
  <c r="M1351" i="1"/>
  <c r="N1350" i="1"/>
  <c r="M1350" i="1"/>
  <c r="N1349" i="1"/>
  <c r="M1349" i="1"/>
  <c r="N1348" i="1"/>
  <c r="M1348" i="1"/>
  <c r="N1347" i="1"/>
  <c r="M1347" i="1"/>
  <c r="N1346" i="1"/>
  <c r="M1346" i="1"/>
  <c r="N1345" i="1"/>
  <c r="M1345" i="1"/>
  <c r="N1344" i="1"/>
  <c r="M1344" i="1"/>
  <c r="N1343" i="1"/>
  <c r="M1343" i="1"/>
  <c r="N1342" i="1"/>
  <c r="M1342" i="1"/>
  <c r="N1341" i="1"/>
  <c r="M1341" i="1"/>
  <c r="N1340" i="1"/>
  <c r="M1340" i="1"/>
  <c r="N1339" i="1"/>
  <c r="M1339" i="1"/>
  <c r="N1338" i="1"/>
  <c r="M1338" i="1"/>
  <c r="N1337" i="1"/>
  <c r="M1337" i="1"/>
  <c r="N1336" i="1"/>
  <c r="M1336" i="1"/>
  <c r="N1335" i="1"/>
  <c r="M1335" i="1"/>
  <c r="N1334" i="1"/>
  <c r="M1334" i="1"/>
  <c r="N1333" i="1"/>
  <c r="M1333" i="1"/>
  <c r="N1332" i="1"/>
  <c r="M1332" i="1"/>
  <c r="N1331" i="1"/>
  <c r="M1331" i="1"/>
  <c r="N1330" i="1"/>
  <c r="M1330" i="1"/>
  <c r="N1329" i="1"/>
  <c r="M1329" i="1"/>
  <c r="N1328" i="1"/>
  <c r="M1328" i="1"/>
  <c r="N1327" i="1"/>
  <c r="M1327" i="1"/>
  <c r="N1326" i="1"/>
  <c r="M1326" i="1"/>
  <c r="N1325" i="1"/>
  <c r="M1325" i="1"/>
  <c r="N1324" i="1"/>
  <c r="M1324" i="1"/>
  <c r="N1323" i="1"/>
  <c r="M1323" i="1"/>
  <c r="N1322" i="1"/>
  <c r="M1322" i="1"/>
  <c r="N1321" i="1"/>
  <c r="M1321" i="1"/>
  <c r="N1320" i="1"/>
  <c r="M1320" i="1"/>
  <c r="N1319" i="1"/>
  <c r="M1319" i="1"/>
  <c r="N1318" i="1"/>
  <c r="M1318" i="1"/>
  <c r="N1317" i="1"/>
  <c r="M1317" i="1"/>
  <c r="N1316" i="1"/>
  <c r="M1316" i="1"/>
  <c r="N1315" i="1"/>
  <c r="M1315" i="1"/>
  <c r="N1314" i="1"/>
  <c r="M1314" i="1"/>
  <c r="N1313" i="1"/>
  <c r="M1313" i="1"/>
  <c r="N1312" i="1"/>
  <c r="M1312" i="1"/>
  <c r="N1311" i="1"/>
  <c r="M1311" i="1"/>
  <c r="N1310" i="1"/>
  <c r="M1310" i="1"/>
  <c r="N1309" i="1"/>
  <c r="M1309" i="1"/>
  <c r="N1308" i="1"/>
  <c r="M1308" i="1"/>
  <c r="N1307" i="1"/>
  <c r="M1307" i="1"/>
  <c r="N1306" i="1"/>
  <c r="M1306" i="1"/>
  <c r="N1305" i="1"/>
  <c r="M1305" i="1"/>
  <c r="N1304" i="1"/>
  <c r="M1304" i="1"/>
  <c r="N1303" i="1"/>
  <c r="M1303" i="1"/>
  <c r="N1302" i="1"/>
  <c r="M1302" i="1"/>
  <c r="N1301" i="1"/>
  <c r="M1301" i="1"/>
  <c r="N1300" i="1"/>
  <c r="M1300" i="1"/>
  <c r="N1299" i="1"/>
  <c r="M1299" i="1"/>
  <c r="N1298" i="1"/>
  <c r="M1298" i="1"/>
  <c r="N1297" i="1"/>
  <c r="M1297" i="1"/>
  <c r="N1296" i="1"/>
  <c r="M1296" i="1"/>
  <c r="N1295" i="1"/>
  <c r="M1295" i="1"/>
  <c r="N1294" i="1"/>
  <c r="M1294" i="1"/>
  <c r="N1293" i="1"/>
  <c r="M1293" i="1"/>
  <c r="N1292" i="1"/>
  <c r="M1292" i="1"/>
  <c r="N1291" i="1"/>
  <c r="M1291" i="1"/>
  <c r="N1290" i="1"/>
  <c r="M1290" i="1"/>
  <c r="N1289" i="1"/>
  <c r="M1289" i="1"/>
  <c r="N1288" i="1"/>
  <c r="M1288" i="1"/>
  <c r="N1287" i="1"/>
  <c r="M1287" i="1"/>
  <c r="N1286" i="1"/>
  <c r="M1286" i="1"/>
  <c r="N1285" i="1"/>
  <c r="M1285" i="1"/>
  <c r="N1284" i="1"/>
  <c r="M1284" i="1"/>
  <c r="N1283" i="1"/>
  <c r="M1283" i="1"/>
  <c r="N1282" i="1"/>
  <c r="M1282" i="1"/>
  <c r="N1281" i="1"/>
  <c r="M1281" i="1"/>
  <c r="N1280" i="1"/>
  <c r="M1280" i="1"/>
  <c r="N1279" i="1"/>
  <c r="M1279" i="1"/>
  <c r="N1278" i="1"/>
  <c r="M1278" i="1"/>
  <c r="N1277" i="1"/>
  <c r="M1277" i="1"/>
  <c r="N1276" i="1"/>
  <c r="M1276" i="1"/>
  <c r="N1275" i="1"/>
  <c r="M1275" i="1"/>
  <c r="N1274" i="1"/>
  <c r="M1274" i="1"/>
  <c r="N1273" i="1"/>
  <c r="M1273" i="1"/>
  <c r="N1272" i="1"/>
  <c r="M1272" i="1"/>
  <c r="N1271" i="1"/>
  <c r="M1271" i="1"/>
  <c r="N1270" i="1"/>
  <c r="M1270" i="1"/>
  <c r="N1269" i="1"/>
  <c r="M1269" i="1"/>
  <c r="N1268" i="1"/>
  <c r="M1268" i="1"/>
  <c r="N1267" i="1"/>
  <c r="M1267" i="1"/>
  <c r="N1266" i="1"/>
  <c r="M1266" i="1"/>
  <c r="N1265" i="1"/>
  <c r="M1265" i="1"/>
  <c r="N1264" i="1"/>
  <c r="M1264" i="1"/>
  <c r="N1263" i="1"/>
  <c r="M1263" i="1"/>
  <c r="N1262" i="1"/>
  <c r="M1262" i="1"/>
  <c r="N1261" i="1"/>
  <c r="M1261" i="1"/>
  <c r="N1260" i="1"/>
  <c r="M1260" i="1"/>
  <c r="N1259" i="1"/>
  <c r="M1259" i="1"/>
  <c r="N1258" i="1"/>
  <c r="M1258" i="1"/>
  <c r="N1257" i="1"/>
  <c r="M1257" i="1"/>
  <c r="N1256" i="1"/>
  <c r="M1256" i="1"/>
  <c r="N1255" i="1"/>
  <c r="M1255" i="1"/>
  <c r="N1254" i="1"/>
  <c r="M1254" i="1"/>
  <c r="N1253" i="1"/>
  <c r="M1253" i="1"/>
  <c r="N1252" i="1"/>
  <c r="M1252" i="1"/>
  <c r="N1251" i="1"/>
  <c r="M1251" i="1"/>
  <c r="N1250" i="1"/>
  <c r="M1250" i="1"/>
  <c r="N1249" i="1"/>
  <c r="M1249" i="1"/>
  <c r="N1248" i="1"/>
  <c r="M1248" i="1"/>
  <c r="N1247" i="1"/>
  <c r="M1247" i="1"/>
  <c r="N1246" i="1"/>
  <c r="M1246" i="1"/>
  <c r="N1245" i="1"/>
  <c r="M1245" i="1"/>
  <c r="N1244" i="1"/>
  <c r="M1244" i="1"/>
  <c r="N1243" i="1"/>
  <c r="M1243" i="1"/>
  <c r="N1242" i="1"/>
  <c r="M1242" i="1"/>
  <c r="N1241" i="1"/>
  <c r="M1241" i="1"/>
  <c r="N1240" i="1"/>
  <c r="M1240" i="1"/>
  <c r="N1239" i="1"/>
  <c r="M1239" i="1"/>
  <c r="N1238" i="1"/>
  <c r="M1238" i="1"/>
  <c r="N1237" i="1"/>
  <c r="M1237" i="1"/>
  <c r="N1236" i="1"/>
  <c r="M1236" i="1"/>
  <c r="N1235" i="1"/>
  <c r="M1235" i="1"/>
  <c r="N1234" i="1"/>
  <c r="M1234" i="1"/>
  <c r="N1233" i="1"/>
  <c r="M1233" i="1"/>
  <c r="N1232" i="1"/>
  <c r="M1232" i="1"/>
  <c r="N1231" i="1"/>
  <c r="M1231" i="1"/>
  <c r="N1230" i="1"/>
  <c r="M1230" i="1"/>
  <c r="N1229" i="1"/>
  <c r="M1229" i="1"/>
  <c r="N1228" i="1"/>
  <c r="M1228" i="1"/>
  <c r="N1227" i="1"/>
  <c r="M1227" i="1"/>
  <c r="N1226" i="1"/>
  <c r="M1226" i="1"/>
  <c r="N1225" i="1"/>
  <c r="M1225" i="1"/>
  <c r="N1224" i="1"/>
  <c r="M1224" i="1"/>
  <c r="N1223" i="1"/>
  <c r="M1223" i="1"/>
  <c r="N1222" i="1"/>
  <c r="M1222" i="1"/>
  <c r="N1221" i="1"/>
  <c r="M1221" i="1"/>
  <c r="N1220" i="1"/>
  <c r="M1220" i="1"/>
  <c r="N1219" i="1"/>
  <c r="M1219" i="1"/>
  <c r="N1218" i="1"/>
  <c r="M1218" i="1"/>
  <c r="N1217" i="1"/>
  <c r="M1217" i="1"/>
  <c r="N1216" i="1"/>
  <c r="M1216" i="1"/>
  <c r="N1215" i="1"/>
  <c r="M1215" i="1"/>
  <c r="N1214" i="1"/>
  <c r="M1214" i="1"/>
  <c r="N1213" i="1"/>
  <c r="M1213" i="1"/>
  <c r="N1212" i="1"/>
  <c r="M1212" i="1"/>
  <c r="N1211" i="1"/>
  <c r="M1211" i="1"/>
  <c r="N1210" i="1"/>
  <c r="M1210" i="1"/>
  <c r="N1209" i="1"/>
  <c r="M1209" i="1"/>
  <c r="N1208" i="1"/>
  <c r="M1208" i="1"/>
  <c r="N1207" i="1"/>
  <c r="M1207" i="1"/>
  <c r="N1206" i="1"/>
  <c r="M1206" i="1"/>
  <c r="N1205" i="1"/>
  <c r="M1205" i="1"/>
  <c r="N1204" i="1"/>
  <c r="M1204" i="1"/>
  <c r="N1203" i="1"/>
  <c r="M1203" i="1"/>
  <c r="N1202" i="1"/>
  <c r="M1202" i="1"/>
  <c r="N1201" i="1"/>
  <c r="M1201" i="1"/>
  <c r="N1200" i="1"/>
  <c r="M1200" i="1"/>
  <c r="N1199" i="1"/>
  <c r="M1199" i="1"/>
  <c r="N1198" i="1"/>
  <c r="M1198" i="1"/>
  <c r="N1197" i="1"/>
  <c r="M1197" i="1"/>
  <c r="N1196" i="1"/>
  <c r="M1196" i="1"/>
  <c r="N1195" i="1"/>
  <c r="M1195" i="1"/>
  <c r="N1194" i="1"/>
  <c r="M1194" i="1"/>
  <c r="N1193" i="1"/>
  <c r="M1193" i="1"/>
  <c r="N1192" i="1"/>
  <c r="M1192" i="1"/>
  <c r="N1191" i="1"/>
  <c r="M1191" i="1"/>
  <c r="N1190" i="1"/>
  <c r="M1190" i="1"/>
  <c r="N1189" i="1"/>
  <c r="M1189" i="1"/>
  <c r="N1188" i="1"/>
  <c r="M1188" i="1"/>
  <c r="N1187" i="1"/>
  <c r="M1187" i="1"/>
  <c r="N1186" i="1"/>
  <c r="M1186" i="1"/>
  <c r="N1185" i="1"/>
  <c r="M1185" i="1"/>
  <c r="N1184" i="1"/>
  <c r="M1184" i="1"/>
  <c r="N1183" i="1"/>
  <c r="M1183" i="1"/>
  <c r="N1182" i="1"/>
  <c r="M1182" i="1"/>
  <c r="N1181" i="1"/>
  <c r="M1181" i="1"/>
  <c r="N1180" i="1"/>
  <c r="M1180" i="1"/>
  <c r="N1179" i="1"/>
  <c r="M1179" i="1"/>
  <c r="N1178" i="1"/>
  <c r="M1178" i="1"/>
  <c r="N1177" i="1"/>
  <c r="M1177" i="1"/>
  <c r="N1176" i="1"/>
  <c r="M1176" i="1"/>
  <c r="N1175" i="1"/>
  <c r="M1175" i="1"/>
  <c r="N1174" i="1"/>
  <c r="M1174" i="1"/>
  <c r="N1173" i="1"/>
  <c r="M1173" i="1"/>
  <c r="N1172" i="1"/>
  <c r="M1172" i="1"/>
  <c r="N1171" i="1"/>
  <c r="M1171" i="1"/>
  <c r="N1170" i="1"/>
  <c r="M1170" i="1"/>
  <c r="N1169" i="1"/>
  <c r="M1169" i="1"/>
  <c r="N1168" i="1"/>
  <c r="M1168" i="1"/>
  <c r="N1167" i="1"/>
  <c r="M1167" i="1"/>
  <c r="N1166" i="1"/>
  <c r="M1166" i="1"/>
  <c r="N1165" i="1"/>
  <c r="M1165" i="1"/>
  <c r="N1164" i="1"/>
  <c r="M1164" i="1"/>
  <c r="N1163" i="1"/>
  <c r="M1163" i="1"/>
  <c r="N1162" i="1"/>
  <c r="M1162" i="1"/>
  <c r="N1161" i="1"/>
  <c r="M1161" i="1"/>
  <c r="N1160" i="1"/>
  <c r="M1160" i="1"/>
  <c r="N1159" i="1"/>
  <c r="M1159" i="1"/>
  <c r="N1158" i="1"/>
  <c r="M1158" i="1"/>
  <c r="N1157" i="1"/>
  <c r="M1157" i="1"/>
  <c r="N1156" i="1"/>
  <c r="M1156" i="1"/>
  <c r="N1155" i="1"/>
  <c r="M1155" i="1"/>
  <c r="N1154" i="1"/>
  <c r="M1154" i="1"/>
  <c r="N1153" i="1"/>
  <c r="M1153" i="1"/>
  <c r="N1152" i="1"/>
  <c r="M1152" i="1"/>
  <c r="N1151" i="1"/>
  <c r="M1151" i="1"/>
  <c r="N1150" i="1"/>
  <c r="M1150" i="1"/>
  <c r="N1149" i="1"/>
  <c r="M1149" i="1"/>
  <c r="N1148" i="1"/>
  <c r="M1148" i="1"/>
  <c r="N1147" i="1"/>
  <c r="M1147" i="1"/>
  <c r="N1146" i="1"/>
  <c r="M1146" i="1"/>
  <c r="N1145" i="1"/>
  <c r="M1145" i="1"/>
  <c r="N1144" i="1"/>
  <c r="M1144" i="1"/>
  <c r="N1143" i="1"/>
  <c r="M1143" i="1"/>
  <c r="N1142" i="1"/>
  <c r="M1142" i="1"/>
  <c r="N1141" i="1"/>
  <c r="M1141" i="1"/>
  <c r="N1140" i="1"/>
  <c r="M1140" i="1"/>
  <c r="N1139" i="1"/>
  <c r="M1139" i="1"/>
  <c r="N1138" i="1"/>
  <c r="M1138" i="1"/>
  <c r="N1137" i="1"/>
  <c r="M1137" i="1"/>
  <c r="N1136" i="1"/>
  <c r="M1136" i="1"/>
  <c r="N1135" i="1"/>
  <c r="M1135" i="1"/>
  <c r="N1134" i="1"/>
  <c r="M1134" i="1"/>
  <c r="N1133" i="1"/>
  <c r="M1133" i="1"/>
  <c r="N1132" i="1"/>
  <c r="M1132" i="1"/>
  <c r="N1131" i="1"/>
  <c r="M1131" i="1"/>
  <c r="N1130" i="1"/>
  <c r="M1130" i="1"/>
  <c r="N1129" i="1"/>
  <c r="M1129" i="1"/>
  <c r="N1128" i="1"/>
  <c r="M1128" i="1"/>
  <c r="N1127" i="1"/>
  <c r="M1127" i="1"/>
  <c r="N1126" i="1"/>
  <c r="M1126" i="1"/>
  <c r="N1125" i="1"/>
  <c r="M1125" i="1"/>
  <c r="N1124" i="1"/>
  <c r="M1124" i="1"/>
  <c r="N1123" i="1"/>
  <c r="M1123" i="1"/>
  <c r="N1122" i="1"/>
  <c r="M1122" i="1"/>
  <c r="N1121" i="1"/>
  <c r="M1121" i="1"/>
  <c r="N1120" i="1"/>
  <c r="M1120" i="1"/>
  <c r="N1119" i="1"/>
  <c r="M1119" i="1"/>
  <c r="N1118" i="1"/>
  <c r="M1118" i="1"/>
  <c r="N1117" i="1"/>
  <c r="M1117" i="1"/>
  <c r="N1116" i="1"/>
  <c r="M1116" i="1"/>
  <c r="N1115" i="1"/>
  <c r="M1115" i="1"/>
  <c r="N1114" i="1"/>
  <c r="M1114" i="1"/>
  <c r="N1113" i="1"/>
  <c r="M1113" i="1"/>
  <c r="N1112" i="1"/>
  <c r="M1112" i="1"/>
  <c r="N1111" i="1"/>
  <c r="M1111" i="1"/>
  <c r="N1110" i="1"/>
  <c r="M1110" i="1"/>
  <c r="N1109" i="1"/>
  <c r="M1109" i="1"/>
  <c r="N1108" i="1"/>
  <c r="M1108" i="1"/>
  <c r="N1107" i="1"/>
  <c r="M1107" i="1"/>
  <c r="N1106" i="1"/>
  <c r="M1106" i="1"/>
  <c r="N1105" i="1"/>
  <c r="M1105" i="1"/>
  <c r="N1104" i="1"/>
  <c r="M1104" i="1"/>
  <c r="N1103" i="1"/>
  <c r="M1103" i="1"/>
  <c r="N1102" i="1"/>
  <c r="M1102" i="1"/>
  <c r="N1101" i="1"/>
  <c r="M1101" i="1"/>
  <c r="N1100" i="1"/>
  <c r="M1100" i="1"/>
  <c r="N1099" i="1"/>
  <c r="M1099" i="1"/>
  <c r="N1098" i="1"/>
  <c r="M1098" i="1"/>
  <c r="N1097" i="1"/>
  <c r="M1097" i="1"/>
  <c r="N1096" i="1"/>
  <c r="M1096" i="1"/>
  <c r="N1095" i="1"/>
  <c r="M1095" i="1"/>
  <c r="N1094" i="1"/>
  <c r="M1094" i="1"/>
  <c r="N1093" i="1"/>
  <c r="M1093" i="1"/>
  <c r="N1092" i="1"/>
  <c r="M1092" i="1"/>
  <c r="N1091" i="1"/>
  <c r="M1091" i="1"/>
  <c r="N1090" i="1"/>
  <c r="M1090" i="1"/>
  <c r="N1089" i="1"/>
  <c r="M1089" i="1"/>
  <c r="N1088" i="1"/>
  <c r="M1088" i="1"/>
  <c r="N1087" i="1"/>
  <c r="M1087" i="1"/>
  <c r="N1086" i="1"/>
  <c r="M1086" i="1"/>
  <c r="N1085" i="1"/>
  <c r="M1085" i="1"/>
  <c r="N1084" i="1"/>
  <c r="M1084" i="1"/>
  <c r="N1083" i="1"/>
  <c r="M1083" i="1"/>
  <c r="N1082" i="1"/>
  <c r="M1082" i="1"/>
  <c r="N1081" i="1"/>
  <c r="M1081" i="1"/>
  <c r="N1080" i="1"/>
  <c r="M1080" i="1"/>
  <c r="N1079" i="1"/>
  <c r="M1079" i="1"/>
  <c r="N1078" i="1"/>
  <c r="M1078" i="1"/>
  <c r="N1077" i="1"/>
  <c r="M1077" i="1"/>
  <c r="N1076" i="1"/>
  <c r="M1076" i="1"/>
  <c r="N1075" i="1"/>
  <c r="M1075" i="1"/>
  <c r="N1074" i="1"/>
  <c r="M1074" i="1"/>
  <c r="N1073" i="1"/>
  <c r="M1073" i="1"/>
  <c r="N1072" i="1"/>
  <c r="M1072" i="1"/>
  <c r="N1071" i="1"/>
  <c r="M1071" i="1"/>
  <c r="N1070" i="1"/>
  <c r="M1070" i="1"/>
  <c r="N1069" i="1"/>
  <c r="M1069" i="1"/>
  <c r="N1068" i="1"/>
  <c r="M1068" i="1"/>
  <c r="N1067" i="1"/>
  <c r="M1067" i="1"/>
  <c r="N1066" i="1"/>
  <c r="M1066" i="1"/>
  <c r="N1065" i="1"/>
  <c r="M1065" i="1"/>
  <c r="N1064" i="1"/>
  <c r="M1064" i="1"/>
  <c r="N1063" i="1"/>
  <c r="M1063" i="1"/>
  <c r="N1062" i="1"/>
  <c r="M1062" i="1"/>
  <c r="N1061" i="1"/>
  <c r="M1061" i="1"/>
  <c r="N1060" i="1"/>
  <c r="M1060" i="1"/>
  <c r="N1059" i="1"/>
  <c r="M1059" i="1"/>
  <c r="N1058" i="1"/>
  <c r="M1058" i="1"/>
  <c r="N1057" i="1"/>
  <c r="M1057" i="1"/>
  <c r="N1056" i="1"/>
  <c r="M1056" i="1"/>
  <c r="N1055" i="1"/>
  <c r="M1055" i="1"/>
  <c r="N1054" i="1"/>
  <c r="M1054" i="1"/>
  <c r="N1053" i="1"/>
  <c r="M1053" i="1"/>
  <c r="N1052" i="1"/>
  <c r="M1052" i="1"/>
  <c r="N1051" i="1"/>
  <c r="M1051" i="1"/>
  <c r="N1050" i="1"/>
  <c r="M1050" i="1"/>
  <c r="N1049" i="1"/>
  <c r="M1049" i="1"/>
  <c r="N1048" i="1"/>
  <c r="M1048" i="1"/>
  <c r="N1047" i="1"/>
  <c r="M1047" i="1"/>
  <c r="N1046" i="1"/>
  <c r="M1046" i="1"/>
  <c r="N1045" i="1"/>
  <c r="M1045" i="1"/>
  <c r="N1044" i="1"/>
  <c r="M1044" i="1"/>
  <c r="N1043" i="1"/>
  <c r="M1043" i="1"/>
  <c r="N1042" i="1"/>
  <c r="M1042" i="1"/>
  <c r="N1041" i="1"/>
  <c r="M1041" i="1"/>
  <c r="N1040" i="1"/>
  <c r="M1040" i="1"/>
  <c r="N1039" i="1"/>
  <c r="M1039" i="1"/>
  <c r="N1038" i="1"/>
  <c r="M1038" i="1"/>
  <c r="N1037" i="1"/>
  <c r="M1037" i="1"/>
  <c r="N1036" i="1"/>
  <c r="M1036" i="1"/>
  <c r="N1035" i="1"/>
  <c r="M1035" i="1"/>
  <c r="N1034" i="1"/>
  <c r="M1034" i="1"/>
  <c r="N1033" i="1"/>
  <c r="M1033" i="1"/>
  <c r="N1032" i="1"/>
  <c r="M1032" i="1"/>
  <c r="N1031" i="1"/>
  <c r="M1031" i="1"/>
  <c r="N1030" i="1"/>
  <c r="M1030" i="1"/>
  <c r="N1029" i="1"/>
  <c r="M1029" i="1"/>
  <c r="N1028" i="1"/>
  <c r="M1028" i="1"/>
  <c r="N1027" i="1"/>
  <c r="M1027" i="1"/>
  <c r="N1026" i="1"/>
  <c r="M1026" i="1"/>
  <c r="N1025" i="1"/>
  <c r="M1025" i="1"/>
  <c r="N1024" i="1"/>
  <c r="M1024" i="1"/>
  <c r="N1023" i="1"/>
  <c r="M1023" i="1"/>
  <c r="N1022" i="1"/>
  <c r="M1022" i="1"/>
  <c r="N1021" i="1"/>
  <c r="M1021" i="1"/>
  <c r="N1020" i="1"/>
  <c r="M1020" i="1"/>
  <c r="N1019" i="1"/>
  <c r="M1019" i="1"/>
  <c r="N1018" i="1"/>
  <c r="M1018" i="1"/>
  <c r="N1017" i="1"/>
  <c r="M1017" i="1"/>
  <c r="N1016" i="1"/>
  <c r="M1016" i="1"/>
  <c r="N1015" i="1"/>
  <c r="M1015" i="1"/>
  <c r="N1014" i="1"/>
  <c r="M1014" i="1"/>
  <c r="N1013" i="1"/>
  <c r="M1013" i="1"/>
  <c r="N1012" i="1"/>
  <c r="M1012" i="1"/>
  <c r="N1011" i="1"/>
  <c r="M1011" i="1"/>
  <c r="N1010" i="1"/>
  <c r="M1010" i="1"/>
  <c r="N1009" i="1"/>
  <c r="M1009" i="1"/>
  <c r="N1008" i="1"/>
  <c r="M1008" i="1"/>
  <c r="N1007" i="1"/>
  <c r="M1007" i="1"/>
  <c r="N1006" i="1"/>
  <c r="M1006" i="1"/>
  <c r="N1005" i="1"/>
  <c r="M1005" i="1"/>
  <c r="N1004" i="1"/>
  <c r="M1004" i="1"/>
  <c r="N1003" i="1"/>
  <c r="M1003" i="1"/>
  <c r="N1002" i="1"/>
  <c r="M1002" i="1"/>
  <c r="N1001" i="1"/>
  <c r="M1001" i="1"/>
  <c r="N1000" i="1"/>
  <c r="M1000" i="1"/>
  <c r="N999" i="1"/>
  <c r="M999" i="1"/>
  <c r="N998" i="1"/>
  <c r="M998" i="1"/>
  <c r="N997" i="1"/>
  <c r="M997" i="1"/>
  <c r="N996" i="1"/>
  <c r="M996" i="1"/>
  <c r="N995" i="1"/>
  <c r="M995" i="1"/>
  <c r="N994" i="1"/>
  <c r="M994" i="1"/>
  <c r="N993" i="1"/>
  <c r="M993" i="1"/>
  <c r="N992" i="1"/>
  <c r="M992" i="1"/>
  <c r="N991" i="1"/>
  <c r="M991" i="1"/>
  <c r="N990" i="1"/>
  <c r="M990" i="1"/>
  <c r="N989" i="1"/>
  <c r="M989" i="1"/>
  <c r="N988" i="1"/>
  <c r="M988" i="1"/>
  <c r="N987" i="1"/>
  <c r="M987" i="1"/>
  <c r="N986" i="1"/>
  <c r="M986" i="1"/>
  <c r="N985" i="1"/>
  <c r="M985" i="1"/>
  <c r="N984" i="1"/>
  <c r="M984" i="1"/>
  <c r="N983" i="1"/>
  <c r="M983" i="1"/>
  <c r="N982" i="1"/>
  <c r="M982" i="1"/>
  <c r="N981" i="1"/>
  <c r="M981" i="1"/>
  <c r="N980" i="1"/>
  <c r="M980" i="1"/>
  <c r="N979" i="1"/>
  <c r="M979" i="1"/>
  <c r="N978" i="1"/>
  <c r="M978" i="1"/>
  <c r="N977" i="1"/>
  <c r="M977" i="1"/>
  <c r="N976" i="1"/>
  <c r="M976" i="1"/>
  <c r="N975" i="1"/>
  <c r="M975" i="1"/>
  <c r="N974" i="1"/>
  <c r="M974" i="1"/>
  <c r="N973" i="1"/>
  <c r="M973" i="1"/>
  <c r="N972" i="1"/>
  <c r="M972" i="1"/>
  <c r="N971" i="1"/>
  <c r="M971" i="1"/>
  <c r="N970" i="1"/>
  <c r="M970" i="1"/>
  <c r="N969" i="1"/>
  <c r="M969" i="1"/>
  <c r="N968" i="1"/>
  <c r="M968" i="1"/>
  <c r="N967" i="1"/>
  <c r="M967" i="1"/>
  <c r="N966" i="1"/>
  <c r="M966" i="1"/>
  <c r="N965" i="1"/>
  <c r="M965" i="1"/>
  <c r="N964" i="1"/>
  <c r="M964" i="1"/>
  <c r="N963" i="1"/>
  <c r="M963" i="1"/>
  <c r="N962" i="1"/>
  <c r="M962" i="1"/>
  <c r="N961" i="1"/>
  <c r="M961" i="1"/>
  <c r="N960" i="1"/>
  <c r="M960" i="1"/>
  <c r="N959" i="1"/>
  <c r="M959" i="1"/>
  <c r="N958" i="1"/>
  <c r="M958" i="1"/>
  <c r="N957" i="1"/>
  <c r="M957" i="1"/>
  <c r="N956" i="1"/>
  <c r="M956" i="1"/>
  <c r="N955" i="1"/>
  <c r="M955" i="1"/>
  <c r="N954" i="1"/>
  <c r="M954" i="1"/>
  <c r="N953" i="1"/>
  <c r="M953" i="1"/>
  <c r="N952" i="1"/>
  <c r="M952" i="1"/>
  <c r="N951" i="1"/>
  <c r="M951" i="1"/>
  <c r="N950" i="1"/>
  <c r="M950" i="1"/>
  <c r="N949" i="1"/>
  <c r="M949" i="1"/>
  <c r="N948" i="1"/>
  <c r="M948" i="1"/>
  <c r="N947" i="1"/>
  <c r="M947" i="1"/>
  <c r="N946" i="1"/>
  <c r="M946" i="1"/>
  <c r="N945" i="1"/>
  <c r="M945" i="1"/>
  <c r="N944" i="1"/>
  <c r="M944" i="1"/>
  <c r="N943" i="1"/>
  <c r="M943" i="1"/>
  <c r="N942" i="1"/>
  <c r="M942" i="1"/>
  <c r="N941" i="1"/>
  <c r="M941" i="1"/>
  <c r="N940" i="1"/>
  <c r="M940" i="1"/>
  <c r="N939" i="1"/>
  <c r="M939" i="1"/>
  <c r="N938" i="1"/>
  <c r="M938" i="1"/>
  <c r="N937" i="1"/>
  <c r="M937" i="1"/>
  <c r="N936" i="1"/>
  <c r="M936" i="1"/>
  <c r="N935" i="1"/>
  <c r="M935" i="1"/>
  <c r="N934" i="1"/>
  <c r="M934" i="1"/>
  <c r="N933" i="1"/>
  <c r="M933" i="1"/>
  <c r="N932" i="1"/>
  <c r="M932" i="1"/>
  <c r="N931" i="1"/>
  <c r="M931" i="1"/>
  <c r="N930" i="1"/>
  <c r="M930" i="1"/>
  <c r="N929" i="1"/>
  <c r="M929" i="1"/>
  <c r="N928" i="1"/>
  <c r="M928" i="1"/>
  <c r="N927" i="1"/>
  <c r="M927" i="1"/>
  <c r="N926" i="1"/>
  <c r="M926" i="1"/>
  <c r="N925" i="1"/>
  <c r="M925" i="1"/>
  <c r="N924" i="1"/>
  <c r="M924" i="1"/>
  <c r="N923" i="1"/>
  <c r="M923" i="1"/>
  <c r="N922" i="1"/>
  <c r="M922" i="1"/>
  <c r="N921" i="1"/>
  <c r="M921" i="1"/>
  <c r="N920" i="1"/>
  <c r="M920" i="1"/>
  <c r="N919" i="1"/>
  <c r="M919" i="1"/>
  <c r="N918" i="1"/>
  <c r="M918" i="1"/>
  <c r="N917" i="1"/>
  <c r="M917" i="1"/>
  <c r="N916" i="1"/>
  <c r="M916" i="1"/>
  <c r="N915" i="1"/>
  <c r="M915" i="1"/>
  <c r="N914" i="1"/>
  <c r="M914" i="1"/>
  <c r="N913" i="1"/>
  <c r="M913" i="1"/>
  <c r="N912" i="1"/>
  <c r="M912" i="1"/>
  <c r="N911" i="1"/>
  <c r="M911" i="1"/>
  <c r="N910" i="1"/>
  <c r="M910" i="1"/>
  <c r="N909" i="1"/>
  <c r="M909" i="1"/>
  <c r="N908" i="1"/>
  <c r="M908" i="1"/>
  <c r="N907" i="1"/>
  <c r="M907" i="1"/>
  <c r="N906" i="1"/>
  <c r="M906" i="1"/>
  <c r="N905" i="1"/>
  <c r="M905" i="1"/>
  <c r="N904" i="1"/>
  <c r="M904" i="1"/>
  <c r="N903" i="1"/>
  <c r="M903" i="1"/>
  <c r="N902" i="1"/>
  <c r="M902" i="1"/>
  <c r="N901" i="1"/>
  <c r="M901" i="1"/>
  <c r="N900" i="1"/>
  <c r="M900" i="1"/>
  <c r="N899" i="1"/>
  <c r="M899" i="1"/>
  <c r="N898" i="1"/>
  <c r="M898" i="1"/>
  <c r="N897" i="1"/>
  <c r="M897" i="1"/>
  <c r="N896" i="1"/>
  <c r="M896" i="1"/>
  <c r="N895" i="1"/>
  <c r="M895" i="1"/>
  <c r="N894" i="1"/>
  <c r="M894" i="1"/>
  <c r="N893" i="1"/>
  <c r="M893" i="1"/>
  <c r="N892" i="1"/>
  <c r="M892" i="1"/>
  <c r="N891" i="1"/>
  <c r="M891" i="1"/>
  <c r="N890" i="1"/>
  <c r="M890" i="1"/>
  <c r="N889" i="1"/>
  <c r="M889" i="1"/>
  <c r="N888" i="1"/>
  <c r="M888" i="1"/>
  <c r="N887" i="1"/>
  <c r="M887" i="1"/>
  <c r="N886" i="1"/>
  <c r="M886" i="1"/>
  <c r="N885" i="1"/>
  <c r="M885" i="1"/>
  <c r="N884" i="1"/>
  <c r="M884" i="1"/>
  <c r="N883" i="1"/>
  <c r="M883" i="1"/>
  <c r="N882" i="1"/>
  <c r="M882" i="1"/>
  <c r="N881" i="1"/>
  <c r="M881" i="1"/>
  <c r="N880" i="1"/>
  <c r="M880" i="1"/>
  <c r="N879" i="1"/>
  <c r="M879" i="1"/>
  <c r="N878" i="1"/>
  <c r="M878" i="1"/>
  <c r="N877" i="1"/>
  <c r="M877" i="1"/>
  <c r="N876" i="1"/>
  <c r="M876" i="1"/>
  <c r="N875" i="1"/>
  <c r="M875" i="1"/>
  <c r="N874" i="1"/>
  <c r="M874" i="1"/>
  <c r="N873" i="1"/>
  <c r="M873" i="1"/>
  <c r="N872" i="1"/>
  <c r="M872" i="1"/>
  <c r="N871" i="1"/>
  <c r="M871" i="1"/>
  <c r="N870" i="1"/>
  <c r="M870" i="1"/>
  <c r="N869" i="1"/>
  <c r="M869" i="1"/>
  <c r="N868" i="1"/>
  <c r="M868" i="1"/>
  <c r="N867" i="1"/>
  <c r="M867" i="1"/>
  <c r="N866" i="1"/>
  <c r="M866" i="1"/>
  <c r="N865" i="1"/>
  <c r="M865" i="1"/>
  <c r="N864" i="1"/>
  <c r="M864" i="1"/>
  <c r="N863" i="1"/>
  <c r="M863" i="1"/>
  <c r="N862" i="1"/>
  <c r="M862" i="1"/>
  <c r="N861" i="1"/>
  <c r="M861" i="1"/>
  <c r="N860" i="1"/>
  <c r="M860" i="1"/>
  <c r="N859" i="1"/>
  <c r="M859" i="1"/>
  <c r="N858" i="1"/>
  <c r="M858" i="1"/>
  <c r="N857" i="1"/>
  <c r="M857" i="1"/>
  <c r="N856" i="1"/>
  <c r="M856" i="1"/>
  <c r="N855" i="1"/>
  <c r="M855" i="1"/>
  <c r="N854" i="1"/>
  <c r="M854" i="1"/>
  <c r="N853" i="1"/>
  <c r="M853" i="1"/>
  <c r="N852" i="1"/>
  <c r="M852" i="1"/>
  <c r="N851" i="1"/>
  <c r="M851" i="1"/>
  <c r="N850" i="1"/>
  <c r="M850" i="1"/>
  <c r="N849" i="1"/>
  <c r="M849" i="1"/>
  <c r="N848" i="1"/>
  <c r="M848" i="1"/>
  <c r="N847" i="1"/>
  <c r="M847" i="1"/>
  <c r="N846" i="1"/>
  <c r="M846" i="1"/>
  <c r="N845" i="1"/>
  <c r="M845" i="1"/>
  <c r="N844" i="1"/>
  <c r="M844" i="1"/>
  <c r="N843" i="1"/>
  <c r="M843" i="1"/>
  <c r="N842" i="1"/>
  <c r="M842" i="1"/>
  <c r="N841" i="1"/>
  <c r="M841" i="1"/>
  <c r="N840" i="1"/>
  <c r="M840" i="1"/>
  <c r="N839" i="1"/>
  <c r="M839" i="1"/>
  <c r="N838" i="1"/>
  <c r="M838" i="1"/>
  <c r="N837" i="1"/>
  <c r="M837" i="1"/>
  <c r="N836" i="1"/>
  <c r="M836" i="1"/>
  <c r="N835" i="1"/>
  <c r="M835" i="1"/>
  <c r="N834" i="1"/>
  <c r="M834" i="1"/>
  <c r="N833" i="1"/>
  <c r="M833" i="1"/>
  <c r="N832" i="1"/>
  <c r="M832" i="1"/>
  <c r="N831" i="1"/>
  <c r="M831" i="1"/>
  <c r="N830" i="1"/>
  <c r="M830" i="1"/>
  <c r="N829" i="1"/>
  <c r="M829" i="1"/>
  <c r="N828" i="1"/>
  <c r="M828" i="1"/>
  <c r="N827" i="1"/>
  <c r="M827" i="1"/>
  <c r="N826" i="1"/>
  <c r="M826" i="1"/>
  <c r="N825" i="1"/>
  <c r="M825" i="1"/>
  <c r="N824" i="1"/>
  <c r="M824" i="1"/>
  <c r="N823" i="1"/>
  <c r="M823" i="1"/>
  <c r="N822" i="1"/>
  <c r="M822" i="1"/>
  <c r="N821" i="1"/>
  <c r="M821" i="1"/>
  <c r="N820" i="1"/>
  <c r="M820" i="1"/>
  <c r="N819" i="1"/>
  <c r="M819" i="1"/>
  <c r="N818" i="1"/>
  <c r="M818" i="1"/>
  <c r="N817" i="1"/>
  <c r="M817" i="1"/>
  <c r="N816" i="1"/>
  <c r="M816" i="1"/>
  <c r="N815" i="1"/>
  <c r="M815" i="1"/>
  <c r="N814" i="1"/>
  <c r="M814" i="1"/>
  <c r="N813" i="1"/>
  <c r="M813" i="1"/>
  <c r="N812" i="1"/>
  <c r="M812" i="1"/>
  <c r="N811" i="1"/>
  <c r="M811" i="1"/>
  <c r="N810" i="1"/>
  <c r="M810" i="1"/>
  <c r="N809" i="1"/>
  <c r="M809" i="1"/>
  <c r="N808" i="1"/>
  <c r="M808" i="1"/>
  <c r="N807" i="1"/>
  <c r="M807" i="1"/>
  <c r="N806" i="1"/>
  <c r="M806" i="1"/>
  <c r="N805" i="1"/>
  <c r="M805" i="1"/>
  <c r="N804" i="1"/>
  <c r="M804" i="1"/>
  <c r="N803" i="1"/>
  <c r="M803" i="1"/>
  <c r="N802" i="1"/>
  <c r="M802" i="1"/>
  <c r="N801" i="1"/>
  <c r="M801" i="1"/>
  <c r="N800" i="1"/>
  <c r="M800" i="1"/>
  <c r="N799" i="1"/>
  <c r="M799" i="1"/>
  <c r="N798" i="1"/>
  <c r="M798" i="1"/>
  <c r="N797" i="1"/>
  <c r="M797" i="1"/>
  <c r="N796" i="1"/>
  <c r="M796" i="1"/>
  <c r="N795" i="1"/>
  <c r="M795" i="1"/>
  <c r="N794" i="1"/>
  <c r="M794" i="1"/>
  <c r="N793" i="1"/>
  <c r="M793" i="1"/>
  <c r="N792" i="1"/>
  <c r="M792" i="1"/>
  <c r="N791" i="1"/>
  <c r="M791" i="1"/>
  <c r="N790" i="1"/>
  <c r="M790" i="1"/>
  <c r="N789" i="1"/>
  <c r="M789" i="1"/>
  <c r="N788" i="1"/>
  <c r="M788" i="1"/>
  <c r="N787" i="1"/>
  <c r="M787" i="1"/>
  <c r="N786" i="1"/>
  <c r="M786" i="1"/>
  <c r="N785" i="1"/>
  <c r="M785" i="1"/>
  <c r="N784" i="1"/>
  <c r="M784" i="1"/>
  <c r="N783" i="1"/>
  <c r="M783" i="1"/>
  <c r="N782" i="1"/>
  <c r="M782" i="1"/>
  <c r="N781" i="1"/>
  <c r="M781" i="1"/>
  <c r="N780" i="1"/>
  <c r="M780" i="1"/>
  <c r="N779" i="1"/>
  <c r="M779" i="1"/>
  <c r="N778" i="1"/>
  <c r="M778" i="1"/>
  <c r="N777" i="1"/>
  <c r="M777" i="1"/>
  <c r="N776" i="1"/>
  <c r="M776" i="1"/>
  <c r="N775" i="1"/>
  <c r="M775" i="1"/>
  <c r="N774" i="1"/>
  <c r="M774" i="1"/>
  <c r="N773" i="1"/>
  <c r="M773" i="1"/>
  <c r="N772" i="1"/>
  <c r="M772" i="1"/>
  <c r="N771" i="1"/>
  <c r="M771" i="1"/>
  <c r="N770" i="1"/>
  <c r="M770" i="1"/>
  <c r="N769" i="1"/>
  <c r="M769" i="1"/>
  <c r="N768" i="1"/>
  <c r="M768" i="1"/>
  <c r="N767" i="1"/>
  <c r="M767" i="1"/>
  <c r="N766" i="1"/>
  <c r="M766" i="1"/>
  <c r="N765" i="1"/>
  <c r="M765" i="1"/>
  <c r="N764" i="1"/>
  <c r="M764" i="1"/>
  <c r="N763" i="1"/>
  <c r="M763" i="1"/>
  <c r="N762" i="1"/>
  <c r="M762" i="1"/>
  <c r="N761" i="1"/>
  <c r="M761" i="1"/>
  <c r="N760" i="1"/>
  <c r="M760" i="1"/>
  <c r="N759" i="1"/>
  <c r="M759" i="1"/>
  <c r="N758" i="1"/>
  <c r="M758" i="1"/>
  <c r="N757" i="1"/>
  <c r="M757" i="1"/>
  <c r="N756" i="1"/>
  <c r="M756" i="1"/>
  <c r="N755" i="1"/>
  <c r="M755" i="1"/>
  <c r="N754" i="1"/>
  <c r="M754" i="1"/>
  <c r="N753" i="1"/>
  <c r="M753" i="1"/>
  <c r="N752" i="1"/>
  <c r="M752" i="1"/>
  <c r="N751" i="1"/>
  <c r="M751" i="1"/>
  <c r="N750" i="1"/>
  <c r="M750" i="1"/>
  <c r="N749" i="1"/>
  <c r="M749" i="1"/>
  <c r="N748" i="1"/>
  <c r="M748" i="1"/>
  <c r="N747" i="1"/>
  <c r="M747" i="1"/>
  <c r="N746" i="1"/>
  <c r="M746" i="1"/>
  <c r="N745" i="1"/>
  <c r="M745" i="1"/>
  <c r="N744" i="1"/>
  <c r="M744" i="1"/>
  <c r="N743" i="1"/>
  <c r="M743" i="1"/>
  <c r="N742" i="1"/>
  <c r="M742" i="1"/>
  <c r="N741" i="1"/>
  <c r="M741" i="1"/>
  <c r="N740" i="1"/>
  <c r="M740" i="1"/>
  <c r="N739" i="1"/>
  <c r="M739" i="1"/>
  <c r="N738" i="1"/>
  <c r="M738" i="1"/>
  <c r="N737" i="1"/>
  <c r="M737" i="1"/>
  <c r="N736" i="1"/>
  <c r="M736" i="1"/>
  <c r="N735" i="1"/>
  <c r="M735" i="1"/>
  <c r="N734" i="1"/>
  <c r="M734" i="1"/>
  <c r="N733" i="1"/>
  <c r="M733" i="1"/>
  <c r="N732" i="1"/>
  <c r="M732" i="1"/>
  <c r="N731" i="1"/>
  <c r="M731" i="1"/>
  <c r="N730" i="1"/>
  <c r="M730" i="1"/>
  <c r="N729" i="1"/>
  <c r="M729" i="1"/>
  <c r="N728" i="1"/>
  <c r="M728" i="1"/>
  <c r="N727" i="1"/>
  <c r="M727" i="1"/>
  <c r="N726" i="1"/>
  <c r="M726" i="1"/>
  <c r="N725" i="1"/>
  <c r="M725" i="1"/>
  <c r="N724" i="1"/>
  <c r="M724" i="1"/>
  <c r="N723" i="1"/>
  <c r="M723" i="1"/>
  <c r="N722" i="1"/>
  <c r="M722" i="1"/>
  <c r="N721" i="1"/>
  <c r="M721" i="1"/>
  <c r="N720" i="1"/>
  <c r="M720" i="1"/>
  <c r="N719" i="1"/>
  <c r="M719" i="1"/>
  <c r="N718" i="1"/>
  <c r="M718" i="1"/>
  <c r="N717" i="1"/>
  <c r="M717" i="1"/>
  <c r="N716" i="1"/>
  <c r="M716" i="1"/>
  <c r="N715" i="1"/>
  <c r="M715" i="1"/>
  <c r="N714" i="1"/>
  <c r="M714" i="1"/>
  <c r="N713" i="1"/>
  <c r="M713" i="1"/>
  <c r="N712" i="1"/>
  <c r="M712" i="1"/>
  <c r="N711" i="1"/>
  <c r="M711" i="1"/>
  <c r="N710" i="1"/>
  <c r="M710" i="1"/>
  <c r="N709" i="1"/>
  <c r="M709" i="1"/>
  <c r="N708" i="1"/>
  <c r="M708" i="1"/>
  <c r="N707" i="1"/>
  <c r="M707" i="1"/>
  <c r="N706" i="1"/>
  <c r="M706" i="1"/>
  <c r="N705" i="1"/>
  <c r="M705" i="1"/>
  <c r="N704" i="1"/>
  <c r="M704" i="1"/>
  <c r="N703" i="1"/>
  <c r="M703" i="1"/>
  <c r="N702" i="1"/>
  <c r="M702" i="1"/>
  <c r="N701" i="1"/>
  <c r="M701" i="1"/>
  <c r="N700" i="1"/>
  <c r="M700" i="1"/>
  <c r="N699" i="1"/>
  <c r="M699" i="1"/>
  <c r="N698" i="1"/>
  <c r="M698" i="1"/>
  <c r="N697" i="1"/>
  <c r="M697" i="1"/>
  <c r="N696" i="1"/>
  <c r="M696" i="1"/>
  <c r="N695" i="1"/>
  <c r="M695" i="1"/>
  <c r="N694" i="1"/>
  <c r="M694" i="1"/>
  <c r="N693" i="1"/>
  <c r="M693" i="1"/>
  <c r="N692" i="1"/>
  <c r="M692" i="1"/>
  <c r="N691" i="1"/>
  <c r="M691" i="1"/>
  <c r="N690" i="1"/>
  <c r="M690" i="1"/>
  <c r="N689" i="1"/>
  <c r="M689" i="1"/>
  <c r="N688" i="1"/>
  <c r="M688" i="1"/>
  <c r="N687" i="1"/>
  <c r="M687" i="1"/>
  <c r="N686" i="1"/>
  <c r="M686" i="1"/>
  <c r="N685" i="1"/>
  <c r="M685" i="1"/>
  <c r="N684" i="1"/>
  <c r="M684" i="1"/>
  <c r="N683" i="1"/>
  <c r="M683" i="1"/>
  <c r="N682" i="1"/>
  <c r="M682" i="1"/>
  <c r="N681" i="1"/>
  <c r="M681" i="1"/>
  <c r="N680" i="1"/>
  <c r="M680" i="1"/>
  <c r="N679" i="1"/>
  <c r="M679" i="1"/>
  <c r="N678" i="1"/>
  <c r="M678" i="1"/>
  <c r="N677" i="1"/>
  <c r="M677" i="1"/>
  <c r="N676" i="1"/>
  <c r="M676" i="1"/>
  <c r="N675" i="1"/>
  <c r="M675" i="1"/>
  <c r="N674" i="1"/>
  <c r="M674" i="1"/>
  <c r="N673" i="1"/>
  <c r="M673" i="1"/>
  <c r="N672" i="1"/>
  <c r="M672" i="1"/>
  <c r="N671" i="1"/>
  <c r="M671" i="1"/>
  <c r="N670" i="1"/>
  <c r="M670" i="1"/>
  <c r="N669" i="1"/>
  <c r="M669" i="1"/>
  <c r="N668" i="1"/>
  <c r="M668" i="1"/>
  <c r="N667" i="1"/>
  <c r="M667" i="1"/>
  <c r="N666" i="1"/>
  <c r="M666" i="1"/>
  <c r="N665" i="1"/>
  <c r="M665" i="1"/>
  <c r="N664" i="1"/>
  <c r="M664" i="1"/>
  <c r="N663" i="1"/>
  <c r="M663" i="1"/>
  <c r="N662" i="1"/>
  <c r="M662" i="1"/>
  <c r="N661" i="1"/>
  <c r="M661" i="1"/>
  <c r="N660" i="1"/>
  <c r="M660" i="1"/>
  <c r="N659" i="1"/>
  <c r="M659" i="1"/>
  <c r="N658" i="1"/>
  <c r="M658" i="1"/>
  <c r="N657" i="1"/>
  <c r="M657" i="1"/>
  <c r="N656" i="1"/>
  <c r="M656" i="1"/>
  <c r="N655" i="1"/>
  <c r="M655" i="1"/>
  <c r="N654" i="1"/>
  <c r="M654" i="1"/>
  <c r="N653" i="1"/>
  <c r="M653" i="1"/>
  <c r="N652" i="1"/>
  <c r="M652" i="1"/>
  <c r="N651" i="1"/>
  <c r="M651" i="1"/>
  <c r="N650" i="1"/>
  <c r="M650" i="1"/>
  <c r="N649" i="1"/>
  <c r="M649" i="1"/>
  <c r="N648" i="1"/>
  <c r="M648" i="1"/>
  <c r="N647" i="1"/>
  <c r="M647" i="1"/>
  <c r="N646" i="1"/>
  <c r="M646" i="1"/>
  <c r="N645" i="1"/>
  <c r="M645" i="1"/>
  <c r="N644" i="1"/>
  <c r="M644" i="1"/>
  <c r="N643" i="1"/>
  <c r="M643" i="1"/>
  <c r="N642" i="1"/>
  <c r="M642" i="1"/>
  <c r="N641" i="1"/>
  <c r="M641" i="1"/>
  <c r="N640" i="1"/>
  <c r="M640" i="1"/>
  <c r="N639" i="1"/>
  <c r="M639" i="1"/>
  <c r="N638" i="1"/>
  <c r="M638" i="1"/>
  <c r="N637" i="1"/>
  <c r="M637" i="1"/>
  <c r="N636" i="1"/>
  <c r="M636" i="1"/>
  <c r="N635" i="1"/>
  <c r="M635" i="1"/>
  <c r="N634" i="1"/>
  <c r="M634" i="1"/>
  <c r="N633" i="1"/>
  <c r="M633" i="1"/>
  <c r="N632" i="1"/>
  <c r="M632" i="1"/>
  <c r="N631" i="1"/>
  <c r="M631" i="1"/>
  <c r="N630" i="1"/>
  <c r="M630" i="1"/>
  <c r="N629" i="1"/>
  <c r="M629" i="1"/>
  <c r="N628" i="1"/>
  <c r="M628" i="1"/>
  <c r="N627" i="1"/>
  <c r="M627" i="1"/>
  <c r="N626" i="1"/>
  <c r="M626" i="1"/>
  <c r="N625" i="1"/>
  <c r="M625" i="1"/>
  <c r="N624" i="1"/>
  <c r="M624" i="1"/>
  <c r="N623" i="1"/>
  <c r="M623" i="1"/>
  <c r="N622" i="1"/>
  <c r="M622" i="1"/>
  <c r="N621" i="1"/>
  <c r="M621" i="1"/>
  <c r="N620" i="1"/>
  <c r="M620" i="1"/>
  <c r="N619" i="1"/>
  <c r="M619" i="1"/>
  <c r="N618" i="1"/>
  <c r="M618" i="1"/>
  <c r="N617" i="1"/>
  <c r="M617" i="1"/>
  <c r="N616" i="1"/>
  <c r="M616" i="1"/>
  <c r="N615" i="1"/>
  <c r="M615" i="1"/>
  <c r="N614" i="1"/>
  <c r="M614" i="1"/>
  <c r="N613" i="1"/>
  <c r="M613" i="1"/>
  <c r="N612" i="1"/>
  <c r="M612" i="1"/>
  <c r="N611" i="1"/>
  <c r="M611" i="1"/>
  <c r="N610" i="1"/>
  <c r="M610" i="1"/>
  <c r="N609" i="1"/>
  <c r="M609" i="1"/>
  <c r="N608" i="1"/>
  <c r="M608" i="1"/>
  <c r="N607" i="1"/>
  <c r="M607" i="1"/>
  <c r="N606" i="1"/>
  <c r="M606" i="1"/>
  <c r="N605" i="1"/>
  <c r="M605" i="1"/>
  <c r="N604" i="1"/>
  <c r="M604" i="1"/>
  <c r="N603" i="1"/>
  <c r="M603" i="1"/>
  <c r="N602" i="1"/>
  <c r="M602" i="1"/>
  <c r="N601" i="1"/>
  <c r="M601" i="1"/>
  <c r="N600" i="1"/>
  <c r="M600" i="1"/>
  <c r="N599" i="1"/>
  <c r="M599" i="1"/>
  <c r="N598" i="1"/>
  <c r="M598" i="1"/>
  <c r="N597" i="1"/>
  <c r="M597" i="1"/>
  <c r="N596" i="1"/>
  <c r="M596" i="1"/>
  <c r="N595" i="1"/>
  <c r="M595" i="1"/>
  <c r="N594" i="1"/>
  <c r="M594" i="1"/>
  <c r="N593" i="1"/>
  <c r="M593" i="1"/>
  <c r="N592" i="1"/>
  <c r="M592" i="1"/>
  <c r="N591" i="1"/>
  <c r="M591" i="1"/>
  <c r="N590" i="1"/>
  <c r="M590" i="1"/>
  <c r="N589" i="1"/>
  <c r="M589" i="1"/>
  <c r="N588" i="1"/>
  <c r="M588" i="1"/>
  <c r="N587" i="1"/>
  <c r="M587" i="1"/>
  <c r="N586" i="1"/>
  <c r="M586" i="1"/>
  <c r="N585" i="1"/>
  <c r="M585" i="1"/>
  <c r="N584" i="1"/>
  <c r="M584" i="1"/>
  <c r="N583" i="1"/>
  <c r="M583" i="1"/>
  <c r="N582" i="1"/>
  <c r="M582" i="1"/>
  <c r="N581" i="1"/>
  <c r="M581" i="1"/>
  <c r="N580" i="1"/>
  <c r="M580" i="1"/>
  <c r="N579" i="1"/>
  <c r="M579" i="1"/>
  <c r="N578" i="1"/>
  <c r="M578" i="1"/>
  <c r="N577" i="1"/>
  <c r="M577" i="1"/>
  <c r="N576" i="1"/>
  <c r="M576" i="1"/>
  <c r="N575" i="1"/>
  <c r="M575" i="1"/>
  <c r="N574" i="1"/>
  <c r="M574" i="1"/>
  <c r="N573" i="1"/>
  <c r="M573" i="1"/>
  <c r="N572" i="1"/>
  <c r="M572" i="1"/>
  <c r="N571" i="1"/>
  <c r="M571" i="1"/>
  <c r="N570" i="1"/>
  <c r="M570" i="1"/>
  <c r="N569" i="1"/>
  <c r="M569" i="1"/>
  <c r="N568" i="1"/>
  <c r="M568" i="1"/>
  <c r="N567" i="1"/>
  <c r="M567" i="1"/>
  <c r="N566" i="1"/>
  <c r="M566" i="1"/>
  <c r="N565" i="1"/>
  <c r="M565" i="1"/>
  <c r="N564" i="1"/>
  <c r="M564" i="1"/>
  <c r="N563" i="1"/>
  <c r="M563" i="1"/>
  <c r="N562" i="1"/>
  <c r="M562" i="1"/>
  <c r="N561" i="1"/>
  <c r="M561" i="1"/>
  <c r="N560" i="1"/>
  <c r="M560" i="1"/>
  <c r="N559" i="1"/>
  <c r="M559" i="1"/>
  <c r="N558" i="1"/>
  <c r="M558" i="1"/>
  <c r="N557" i="1"/>
  <c r="M557" i="1"/>
  <c r="N556" i="1"/>
  <c r="M556" i="1"/>
  <c r="N555" i="1"/>
  <c r="M555" i="1"/>
  <c r="N554" i="1"/>
  <c r="M554" i="1"/>
  <c r="N553" i="1"/>
  <c r="M553" i="1"/>
  <c r="N552" i="1"/>
  <c r="M552" i="1"/>
  <c r="N551" i="1"/>
  <c r="M551" i="1"/>
  <c r="N550" i="1"/>
  <c r="M550" i="1"/>
  <c r="N549" i="1"/>
  <c r="M549" i="1"/>
  <c r="N548" i="1"/>
  <c r="M548" i="1"/>
  <c r="N547" i="1"/>
  <c r="M547" i="1"/>
  <c r="N546" i="1"/>
  <c r="M546" i="1"/>
  <c r="N545" i="1"/>
  <c r="M545" i="1"/>
  <c r="N544" i="1"/>
  <c r="M544" i="1"/>
  <c r="N543" i="1"/>
  <c r="M543" i="1"/>
  <c r="N542" i="1"/>
  <c r="M542" i="1"/>
  <c r="N541" i="1"/>
  <c r="M541" i="1"/>
  <c r="N540" i="1"/>
  <c r="M540" i="1"/>
  <c r="N539" i="1"/>
  <c r="M539" i="1"/>
  <c r="N538" i="1"/>
  <c r="M538" i="1"/>
  <c r="N537" i="1"/>
  <c r="M537" i="1"/>
  <c r="N536" i="1"/>
  <c r="M536" i="1"/>
  <c r="N535" i="1"/>
  <c r="M535" i="1"/>
  <c r="N534" i="1"/>
  <c r="M534" i="1"/>
  <c r="N533" i="1"/>
  <c r="M533" i="1"/>
  <c r="N532" i="1"/>
  <c r="M532" i="1"/>
  <c r="N531" i="1"/>
  <c r="M531" i="1"/>
  <c r="N530" i="1"/>
  <c r="M530" i="1"/>
  <c r="N529" i="1"/>
  <c r="M529" i="1"/>
  <c r="N528" i="1"/>
  <c r="M528" i="1"/>
  <c r="N527" i="1"/>
  <c r="M527" i="1"/>
  <c r="N526" i="1"/>
  <c r="M526" i="1"/>
  <c r="N525" i="1"/>
  <c r="M525" i="1"/>
  <c r="N524" i="1"/>
  <c r="M524" i="1"/>
  <c r="N523" i="1"/>
  <c r="M523" i="1"/>
  <c r="N522" i="1"/>
  <c r="M522" i="1"/>
  <c r="N521" i="1"/>
  <c r="M521" i="1"/>
  <c r="N520" i="1"/>
  <c r="M520" i="1"/>
  <c r="N519" i="1"/>
  <c r="M519" i="1"/>
  <c r="N518" i="1"/>
  <c r="M518" i="1"/>
  <c r="N517" i="1"/>
  <c r="M517" i="1"/>
  <c r="N516" i="1"/>
  <c r="M516" i="1"/>
  <c r="N515" i="1"/>
  <c r="M515" i="1"/>
  <c r="N514" i="1"/>
  <c r="M514" i="1"/>
  <c r="N513" i="1"/>
  <c r="M513" i="1"/>
  <c r="N512" i="1"/>
  <c r="M512" i="1"/>
  <c r="N511" i="1"/>
  <c r="M511" i="1"/>
  <c r="N510" i="1"/>
  <c r="M510" i="1"/>
  <c r="N509" i="1"/>
  <c r="M509" i="1"/>
  <c r="N508" i="1"/>
  <c r="M508" i="1"/>
  <c r="N507" i="1"/>
  <c r="M507" i="1"/>
  <c r="N506" i="1"/>
  <c r="M506" i="1"/>
  <c r="N505" i="1"/>
  <c r="M505" i="1"/>
  <c r="N504" i="1"/>
  <c r="M504" i="1"/>
  <c r="N503" i="1"/>
  <c r="M503" i="1"/>
  <c r="N502" i="1"/>
  <c r="M502" i="1"/>
  <c r="N501" i="1"/>
  <c r="M501" i="1"/>
  <c r="N500" i="1"/>
  <c r="M500" i="1"/>
  <c r="N499" i="1"/>
  <c r="M499" i="1"/>
  <c r="N498" i="1"/>
  <c r="M498" i="1"/>
  <c r="N497" i="1"/>
  <c r="M497" i="1"/>
  <c r="N496" i="1"/>
  <c r="M496" i="1"/>
  <c r="N495" i="1"/>
  <c r="M495" i="1"/>
  <c r="N494" i="1"/>
  <c r="M494" i="1"/>
  <c r="N493" i="1"/>
  <c r="M493" i="1"/>
  <c r="N492" i="1"/>
  <c r="M492" i="1"/>
  <c r="N491" i="1"/>
  <c r="M491" i="1"/>
  <c r="N490" i="1"/>
  <c r="M490" i="1"/>
  <c r="N489" i="1"/>
  <c r="M489" i="1"/>
  <c r="N488" i="1"/>
  <c r="M488" i="1"/>
  <c r="N487" i="1"/>
  <c r="M487" i="1"/>
  <c r="N486" i="1"/>
  <c r="M486" i="1"/>
  <c r="N485" i="1"/>
  <c r="M485" i="1"/>
  <c r="N484" i="1"/>
  <c r="M484" i="1"/>
  <c r="N483" i="1"/>
  <c r="M483" i="1"/>
  <c r="N482" i="1"/>
  <c r="M482" i="1"/>
  <c r="N481" i="1"/>
  <c r="M481" i="1"/>
  <c r="N480" i="1"/>
  <c r="M480" i="1"/>
  <c r="N479" i="1"/>
  <c r="M479" i="1"/>
  <c r="N478" i="1"/>
  <c r="M478" i="1"/>
  <c r="N477" i="1"/>
  <c r="M477" i="1"/>
  <c r="N476" i="1"/>
  <c r="M476" i="1"/>
  <c r="N475" i="1"/>
  <c r="M475" i="1"/>
  <c r="N474" i="1"/>
  <c r="M474" i="1"/>
  <c r="N473" i="1"/>
  <c r="M473" i="1"/>
  <c r="N472" i="1"/>
  <c r="M472" i="1"/>
  <c r="N471" i="1"/>
  <c r="M471" i="1"/>
  <c r="N470" i="1"/>
  <c r="M470" i="1"/>
  <c r="N469" i="1"/>
  <c r="M469" i="1"/>
  <c r="N468" i="1"/>
  <c r="M468" i="1"/>
  <c r="N467" i="1"/>
  <c r="M467" i="1"/>
  <c r="N466" i="1"/>
  <c r="M466" i="1"/>
  <c r="N465" i="1"/>
  <c r="M465" i="1"/>
  <c r="N464" i="1"/>
  <c r="M464" i="1"/>
  <c r="N463" i="1"/>
  <c r="M463" i="1"/>
  <c r="N462" i="1"/>
  <c r="M462" i="1"/>
  <c r="N461" i="1"/>
  <c r="M461" i="1"/>
  <c r="N460" i="1"/>
  <c r="M460" i="1"/>
  <c r="N459" i="1"/>
  <c r="M459" i="1"/>
  <c r="N458" i="1"/>
  <c r="M458" i="1"/>
  <c r="N457" i="1"/>
  <c r="M457" i="1"/>
  <c r="N456" i="1"/>
  <c r="M456" i="1"/>
  <c r="N455" i="1"/>
  <c r="M455" i="1"/>
  <c r="N454" i="1"/>
  <c r="M454" i="1"/>
  <c r="N453" i="1"/>
  <c r="M453" i="1"/>
  <c r="N452" i="1"/>
  <c r="M452" i="1"/>
  <c r="N451" i="1"/>
  <c r="M451" i="1"/>
  <c r="N450" i="1"/>
  <c r="M450" i="1"/>
  <c r="N449" i="1"/>
  <c r="M449" i="1"/>
  <c r="N448" i="1"/>
  <c r="M448" i="1"/>
  <c r="N447" i="1"/>
  <c r="M447" i="1"/>
  <c r="N446" i="1"/>
  <c r="M446" i="1"/>
  <c r="N445" i="1"/>
  <c r="M445" i="1"/>
  <c r="N444" i="1"/>
  <c r="M444" i="1"/>
  <c r="N443" i="1"/>
  <c r="M443" i="1"/>
  <c r="N442" i="1"/>
  <c r="M442" i="1"/>
  <c r="N441" i="1"/>
  <c r="M441" i="1"/>
  <c r="N440" i="1"/>
  <c r="M440" i="1"/>
  <c r="N439" i="1"/>
  <c r="M439" i="1"/>
  <c r="N438" i="1"/>
  <c r="M438" i="1"/>
  <c r="N437" i="1"/>
  <c r="M437" i="1"/>
  <c r="N436" i="1"/>
  <c r="M436" i="1"/>
  <c r="N435" i="1"/>
  <c r="M435" i="1"/>
  <c r="N434" i="1"/>
  <c r="M434" i="1"/>
  <c r="N433" i="1"/>
  <c r="M433" i="1"/>
  <c r="N432" i="1"/>
  <c r="M432" i="1"/>
  <c r="N431" i="1"/>
  <c r="M431" i="1"/>
  <c r="N430" i="1"/>
  <c r="M430" i="1"/>
  <c r="N429" i="1"/>
  <c r="M429" i="1"/>
  <c r="N428" i="1"/>
  <c r="M428" i="1"/>
  <c r="N427" i="1"/>
  <c r="M427" i="1"/>
  <c r="N426" i="1"/>
  <c r="M426" i="1"/>
  <c r="N425" i="1"/>
  <c r="M425" i="1"/>
  <c r="N424" i="1"/>
  <c r="M424" i="1"/>
  <c r="N423" i="1"/>
  <c r="M423" i="1"/>
  <c r="N422" i="1"/>
  <c r="M422" i="1"/>
  <c r="N421" i="1"/>
  <c r="M421" i="1"/>
  <c r="N420" i="1"/>
  <c r="M420" i="1"/>
  <c r="N419" i="1"/>
  <c r="M419" i="1"/>
  <c r="N418" i="1"/>
  <c r="M418" i="1"/>
  <c r="N417" i="1"/>
  <c r="M417" i="1"/>
  <c r="N416" i="1"/>
  <c r="M416" i="1"/>
  <c r="N415" i="1"/>
  <c r="M415" i="1"/>
  <c r="N414" i="1"/>
  <c r="M414" i="1"/>
  <c r="N413" i="1"/>
  <c r="M413" i="1"/>
  <c r="N412" i="1"/>
  <c r="M412" i="1"/>
  <c r="N411" i="1"/>
  <c r="M411" i="1"/>
  <c r="N410" i="1"/>
  <c r="M410" i="1"/>
  <c r="N409" i="1"/>
  <c r="M409" i="1"/>
  <c r="N408" i="1"/>
  <c r="M408" i="1"/>
  <c r="N407" i="1"/>
  <c r="M407" i="1"/>
  <c r="N406" i="1"/>
  <c r="M406" i="1"/>
  <c r="N405" i="1"/>
  <c r="M405" i="1"/>
  <c r="N404" i="1"/>
  <c r="M404" i="1"/>
  <c r="N403" i="1"/>
  <c r="M403" i="1"/>
  <c r="N402" i="1"/>
  <c r="M402" i="1"/>
  <c r="N401" i="1"/>
  <c r="M401" i="1"/>
  <c r="N400" i="1"/>
  <c r="M400" i="1"/>
  <c r="N399" i="1"/>
  <c r="M399" i="1"/>
  <c r="N398" i="1"/>
  <c r="M398" i="1"/>
  <c r="N397" i="1"/>
  <c r="M397" i="1"/>
  <c r="N396" i="1"/>
  <c r="M396" i="1"/>
  <c r="N395" i="1"/>
  <c r="M395" i="1"/>
  <c r="N394" i="1"/>
  <c r="M394" i="1"/>
  <c r="N393" i="1"/>
  <c r="M393" i="1"/>
  <c r="N392" i="1"/>
  <c r="M392" i="1"/>
  <c r="N391" i="1"/>
  <c r="M391" i="1"/>
  <c r="N390" i="1"/>
  <c r="M390" i="1"/>
  <c r="N389" i="1"/>
  <c r="M389" i="1"/>
  <c r="N388" i="1"/>
  <c r="M388" i="1"/>
  <c r="N387" i="1"/>
  <c r="M387" i="1"/>
  <c r="N386" i="1"/>
  <c r="M386" i="1"/>
  <c r="N385" i="1"/>
  <c r="M385" i="1"/>
  <c r="N384" i="1"/>
  <c r="M384" i="1"/>
  <c r="N383" i="1"/>
  <c r="M383" i="1"/>
  <c r="N382" i="1"/>
  <c r="M382" i="1"/>
  <c r="N381" i="1"/>
  <c r="M381" i="1"/>
  <c r="N380" i="1"/>
  <c r="M380" i="1"/>
  <c r="N379" i="1"/>
  <c r="M379" i="1"/>
  <c r="N378" i="1"/>
  <c r="M378" i="1"/>
  <c r="N377" i="1"/>
  <c r="M377" i="1"/>
  <c r="N376" i="1"/>
  <c r="M376" i="1"/>
  <c r="N375" i="1"/>
  <c r="M375" i="1"/>
  <c r="N374" i="1"/>
  <c r="M374" i="1"/>
  <c r="N373" i="1"/>
  <c r="M373" i="1"/>
  <c r="N372" i="1"/>
  <c r="M372" i="1"/>
  <c r="N371" i="1"/>
  <c r="M371" i="1"/>
  <c r="N370" i="1"/>
  <c r="M370" i="1"/>
  <c r="N369" i="1"/>
  <c r="M369" i="1"/>
  <c r="N368" i="1"/>
  <c r="M368" i="1"/>
  <c r="N367" i="1"/>
  <c r="M367" i="1"/>
  <c r="N366" i="1"/>
  <c r="M366" i="1"/>
  <c r="N365" i="1"/>
  <c r="M365" i="1"/>
  <c r="N364" i="1"/>
  <c r="M364" i="1"/>
  <c r="N363" i="1"/>
  <c r="M363" i="1"/>
  <c r="N362" i="1"/>
  <c r="M362" i="1"/>
  <c r="N361" i="1"/>
  <c r="M361" i="1"/>
  <c r="N360" i="1"/>
  <c r="M360" i="1"/>
  <c r="N359" i="1"/>
  <c r="M359" i="1"/>
  <c r="N358" i="1"/>
  <c r="M358" i="1"/>
  <c r="N357" i="1"/>
  <c r="M357" i="1"/>
  <c r="N356" i="1"/>
  <c r="M356" i="1"/>
  <c r="N355" i="1"/>
  <c r="M355" i="1"/>
  <c r="N354" i="1"/>
  <c r="M354" i="1"/>
  <c r="N353" i="1"/>
  <c r="M353" i="1"/>
  <c r="N352" i="1"/>
  <c r="M352" i="1"/>
  <c r="N351" i="1"/>
  <c r="M351" i="1"/>
  <c r="N350" i="1"/>
  <c r="M350" i="1"/>
  <c r="N349" i="1"/>
  <c r="M349" i="1"/>
  <c r="N348" i="1"/>
  <c r="M348" i="1"/>
  <c r="N347" i="1"/>
  <c r="M347" i="1"/>
  <c r="N346" i="1"/>
  <c r="M346" i="1"/>
  <c r="N345" i="1"/>
  <c r="M345" i="1"/>
  <c r="N344" i="1"/>
  <c r="M344" i="1"/>
  <c r="N343" i="1"/>
  <c r="M343" i="1"/>
  <c r="N342" i="1"/>
  <c r="M342" i="1"/>
  <c r="N341" i="1"/>
  <c r="M341" i="1"/>
  <c r="N340" i="1"/>
  <c r="M340" i="1"/>
  <c r="N339" i="1"/>
  <c r="M339" i="1"/>
  <c r="N338" i="1"/>
  <c r="M338" i="1"/>
  <c r="N337" i="1"/>
  <c r="M337" i="1"/>
  <c r="N336" i="1"/>
  <c r="M336" i="1"/>
  <c r="N335" i="1"/>
  <c r="M335" i="1"/>
  <c r="N334" i="1"/>
  <c r="M334" i="1"/>
  <c r="N333" i="1"/>
  <c r="M333" i="1"/>
  <c r="N332" i="1"/>
  <c r="M332" i="1"/>
  <c r="N331" i="1"/>
  <c r="M331" i="1"/>
  <c r="N330" i="1"/>
  <c r="M330" i="1"/>
  <c r="N329" i="1"/>
  <c r="M329" i="1"/>
  <c r="N328" i="1"/>
  <c r="M328" i="1"/>
  <c r="N327" i="1"/>
  <c r="M327" i="1"/>
  <c r="N326" i="1"/>
  <c r="M326" i="1"/>
  <c r="N325" i="1"/>
  <c r="M325" i="1"/>
  <c r="N324" i="1"/>
  <c r="M324" i="1"/>
  <c r="N323" i="1"/>
  <c r="M323" i="1"/>
  <c r="N322" i="1"/>
  <c r="M322" i="1"/>
  <c r="N321" i="1"/>
  <c r="M321" i="1"/>
  <c r="N320" i="1"/>
  <c r="M320" i="1"/>
  <c r="N319" i="1"/>
  <c r="M319" i="1"/>
  <c r="N318" i="1"/>
  <c r="M318" i="1"/>
  <c r="N317" i="1"/>
  <c r="M317" i="1"/>
  <c r="N316" i="1"/>
  <c r="M316" i="1"/>
  <c r="N315" i="1"/>
  <c r="M315" i="1"/>
  <c r="N314" i="1"/>
  <c r="M314" i="1"/>
  <c r="N313" i="1"/>
  <c r="M313" i="1"/>
  <c r="N312" i="1"/>
  <c r="M312" i="1"/>
  <c r="N311" i="1"/>
  <c r="M311" i="1"/>
  <c r="N310" i="1"/>
  <c r="M310" i="1"/>
  <c r="N309" i="1"/>
  <c r="M309" i="1"/>
  <c r="N308" i="1"/>
  <c r="M308" i="1"/>
  <c r="N307" i="1"/>
  <c r="M307" i="1"/>
  <c r="N306" i="1"/>
  <c r="M306" i="1"/>
  <c r="N305" i="1"/>
  <c r="M305" i="1"/>
  <c r="N304" i="1"/>
  <c r="M304" i="1"/>
  <c r="N303" i="1"/>
  <c r="M303" i="1"/>
  <c r="N302" i="1"/>
  <c r="M302" i="1"/>
  <c r="N301" i="1"/>
  <c r="M301" i="1"/>
  <c r="N300" i="1"/>
  <c r="M300" i="1"/>
  <c r="N299" i="1"/>
  <c r="M299" i="1"/>
  <c r="N298" i="1"/>
  <c r="M298" i="1"/>
  <c r="N297" i="1"/>
  <c r="M297" i="1"/>
  <c r="N296" i="1"/>
  <c r="M296" i="1"/>
  <c r="N295" i="1"/>
  <c r="M295" i="1"/>
  <c r="N294" i="1"/>
  <c r="M294" i="1"/>
  <c r="N293" i="1"/>
  <c r="M293" i="1"/>
  <c r="N292" i="1"/>
  <c r="M292" i="1"/>
  <c r="N291" i="1"/>
  <c r="M291" i="1"/>
  <c r="N290" i="1"/>
  <c r="M290" i="1"/>
  <c r="N289" i="1"/>
  <c r="M289" i="1"/>
  <c r="N288" i="1"/>
  <c r="M288" i="1"/>
  <c r="N287" i="1"/>
  <c r="M287" i="1"/>
  <c r="N286" i="1"/>
  <c r="M286" i="1"/>
  <c r="N285" i="1"/>
  <c r="M285" i="1"/>
  <c r="N284" i="1"/>
  <c r="M284" i="1"/>
  <c r="N283" i="1"/>
  <c r="M283" i="1"/>
  <c r="N282" i="1"/>
  <c r="M282" i="1"/>
  <c r="N281" i="1"/>
  <c r="M281" i="1"/>
  <c r="N280" i="1"/>
  <c r="M280" i="1"/>
  <c r="N279" i="1"/>
  <c r="M279" i="1"/>
  <c r="N278" i="1"/>
  <c r="M278" i="1"/>
  <c r="N277" i="1"/>
  <c r="M277" i="1"/>
  <c r="N276" i="1"/>
  <c r="M276" i="1"/>
  <c r="N275" i="1"/>
  <c r="M275" i="1"/>
  <c r="N274" i="1"/>
  <c r="M274" i="1"/>
  <c r="N273" i="1"/>
  <c r="M273" i="1"/>
  <c r="N272" i="1"/>
  <c r="M272" i="1"/>
  <c r="N271" i="1"/>
  <c r="M271" i="1"/>
  <c r="N270" i="1"/>
  <c r="M270" i="1"/>
  <c r="N269" i="1"/>
  <c r="M269" i="1"/>
  <c r="N268" i="1"/>
  <c r="M268" i="1"/>
  <c r="N267" i="1"/>
  <c r="M267" i="1"/>
  <c r="N266" i="1"/>
  <c r="M266" i="1"/>
  <c r="N265" i="1"/>
  <c r="M265" i="1"/>
  <c r="N264" i="1"/>
  <c r="M264" i="1"/>
  <c r="N263" i="1"/>
  <c r="M263" i="1"/>
  <c r="N262" i="1"/>
  <c r="M262" i="1"/>
  <c r="N261" i="1"/>
  <c r="M261" i="1"/>
  <c r="N260" i="1"/>
  <c r="M260" i="1"/>
  <c r="N259" i="1"/>
  <c r="M259" i="1"/>
  <c r="N258" i="1"/>
  <c r="M258" i="1"/>
  <c r="N257" i="1"/>
  <c r="M257" i="1"/>
  <c r="N256" i="1"/>
  <c r="M256" i="1"/>
  <c r="N255" i="1"/>
  <c r="M255" i="1"/>
  <c r="N254" i="1"/>
  <c r="M254" i="1"/>
  <c r="N253" i="1"/>
  <c r="M253" i="1"/>
  <c r="N252" i="1"/>
  <c r="M252" i="1"/>
  <c r="N251" i="1"/>
  <c r="M251" i="1"/>
  <c r="N250" i="1"/>
  <c r="M250" i="1"/>
  <c r="N249" i="1"/>
  <c r="M249" i="1"/>
  <c r="N248" i="1"/>
  <c r="M248" i="1"/>
  <c r="N247" i="1"/>
  <c r="M247" i="1"/>
  <c r="N246" i="1"/>
  <c r="M246" i="1"/>
  <c r="N245" i="1"/>
  <c r="M245" i="1"/>
  <c r="N244" i="1"/>
  <c r="M244" i="1"/>
  <c r="N243" i="1"/>
  <c r="M243" i="1"/>
  <c r="N242" i="1"/>
  <c r="M242" i="1"/>
  <c r="N241" i="1"/>
  <c r="M241" i="1"/>
  <c r="N240" i="1"/>
  <c r="M240" i="1"/>
  <c r="N239" i="1"/>
  <c r="M239" i="1"/>
  <c r="N238" i="1"/>
  <c r="M238" i="1"/>
  <c r="N237" i="1"/>
  <c r="M237" i="1"/>
  <c r="N236" i="1"/>
  <c r="M236" i="1"/>
  <c r="N235" i="1"/>
  <c r="M235" i="1"/>
  <c r="N234" i="1"/>
  <c r="M234" i="1"/>
  <c r="N233" i="1"/>
  <c r="M233" i="1"/>
  <c r="N232" i="1"/>
  <c r="M232" i="1"/>
  <c r="N231" i="1"/>
  <c r="M231" i="1"/>
  <c r="N230" i="1"/>
  <c r="M230" i="1"/>
  <c r="N229" i="1"/>
  <c r="M229" i="1"/>
  <c r="N228" i="1"/>
  <c r="M228" i="1"/>
  <c r="N227" i="1"/>
  <c r="M227" i="1"/>
  <c r="N226" i="1"/>
  <c r="M226" i="1"/>
  <c r="N225" i="1"/>
  <c r="M225" i="1"/>
  <c r="N224" i="1"/>
  <c r="M224" i="1"/>
  <c r="N223" i="1"/>
  <c r="M223" i="1"/>
  <c r="N222" i="1"/>
  <c r="M222" i="1"/>
  <c r="N221" i="1"/>
  <c r="M221" i="1"/>
  <c r="N220" i="1"/>
  <c r="M220" i="1"/>
  <c r="N219" i="1"/>
  <c r="M219" i="1"/>
  <c r="N218" i="1"/>
  <c r="M218" i="1"/>
  <c r="N217" i="1"/>
  <c r="M217" i="1"/>
  <c r="N216" i="1"/>
  <c r="M216" i="1"/>
  <c r="N215" i="1"/>
  <c r="M215" i="1"/>
  <c r="N214" i="1"/>
  <c r="M214" i="1"/>
  <c r="N213" i="1"/>
  <c r="M213" i="1"/>
  <c r="N212" i="1"/>
  <c r="M212" i="1"/>
  <c r="N211" i="1"/>
  <c r="M211" i="1"/>
  <c r="N210" i="1"/>
  <c r="M210" i="1"/>
  <c r="N209" i="1"/>
  <c r="M209" i="1"/>
  <c r="N208" i="1"/>
  <c r="M208" i="1"/>
  <c r="N207" i="1"/>
  <c r="M207" i="1"/>
  <c r="N206" i="1"/>
  <c r="M206" i="1"/>
  <c r="N205" i="1"/>
  <c r="M205" i="1"/>
  <c r="N204" i="1"/>
  <c r="M204" i="1"/>
  <c r="N203" i="1"/>
  <c r="M203" i="1"/>
  <c r="N202" i="1"/>
  <c r="M202" i="1"/>
  <c r="N201" i="1"/>
  <c r="M201" i="1"/>
  <c r="N200" i="1"/>
  <c r="M200" i="1"/>
  <c r="N199" i="1"/>
  <c r="M199" i="1"/>
  <c r="N198" i="1"/>
  <c r="M198" i="1"/>
  <c r="N197" i="1"/>
  <c r="M197" i="1"/>
  <c r="N196" i="1"/>
  <c r="M196" i="1"/>
  <c r="N195" i="1"/>
  <c r="M195" i="1"/>
  <c r="N194" i="1"/>
  <c r="M194" i="1"/>
  <c r="N193" i="1"/>
  <c r="M193" i="1"/>
  <c r="N192" i="1"/>
  <c r="M192" i="1"/>
  <c r="N191" i="1"/>
  <c r="M191" i="1"/>
  <c r="N190" i="1"/>
  <c r="M190" i="1"/>
  <c r="N189" i="1"/>
  <c r="M189" i="1"/>
  <c r="N188" i="1"/>
  <c r="M188" i="1"/>
  <c r="N187" i="1"/>
  <c r="M187" i="1"/>
  <c r="N186" i="1"/>
  <c r="M186" i="1"/>
  <c r="N185" i="1"/>
  <c r="M185" i="1"/>
  <c r="N184" i="1"/>
  <c r="M184" i="1"/>
  <c r="N183" i="1"/>
  <c r="M183" i="1"/>
  <c r="N182" i="1"/>
  <c r="M182" i="1"/>
  <c r="N181" i="1"/>
  <c r="M181" i="1"/>
  <c r="N180" i="1"/>
  <c r="M180" i="1"/>
  <c r="N179" i="1"/>
  <c r="M179" i="1"/>
  <c r="N178" i="1"/>
  <c r="M178" i="1"/>
  <c r="N177" i="1"/>
  <c r="M177" i="1"/>
  <c r="N176" i="1"/>
  <c r="M176" i="1"/>
  <c r="N175" i="1"/>
  <c r="M175" i="1"/>
  <c r="N174" i="1"/>
  <c r="M174"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44" i="1"/>
  <c r="M144" i="1"/>
  <c r="N143" i="1"/>
  <c r="M143" i="1"/>
  <c r="N142" i="1"/>
  <c r="M142" i="1"/>
  <c r="N141" i="1"/>
  <c r="M141" i="1"/>
  <c r="N140" i="1"/>
  <c r="M140" i="1"/>
  <c r="N139" i="1"/>
  <c r="M139" i="1"/>
  <c r="N138" i="1"/>
  <c r="M138" i="1"/>
  <c r="N137" i="1"/>
  <c r="M137" i="1"/>
  <c r="N136" i="1"/>
  <c r="M136" i="1"/>
  <c r="N135" i="1"/>
  <c r="M135" i="1"/>
  <c r="N134" i="1"/>
  <c r="M134" i="1"/>
  <c r="N133" i="1"/>
  <c r="M133" i="1"/>
  <c r="N132" i="1"/>
  <c r="M132" i="1"/>
  <c r="N131" i="1"/>
  <c r="M131" i="1"/>
  <c r="N130" i="1"/>
  <c r="M130" i="1"/>
  <c r="N129" i="1"/>
  <c r="M129" i="1"/>
  <c r="N128" i="1"/>
  <c r="M128" i="1"/>
  <c r="N127" i="1"/>
  <c r="M127" i="1"/>
  <c r="N126" i="1"/>
  <c r="M126" i="1"/>
  <c r="N125" i="1"/>
  <c r="M125"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98" i="1"/>
  <c r="M98" i="1"/>
  <c r="N97" i="1"/>
  <c r="M97" i="1"/>
  <c r="N96" i="1"/>
  <c r="M96" i="1"/>
  <c r="N95" i="1"/>
  <c r="M95" i="1"/>
  <c r="N94" i="1"/>
  <c r="M94" i="1"/>
  <c r="N93" i="1"/>
  <c r="M93" i="1"/>
  <c r="N92" i="1"/>
  <c r="M92" i="1"/>
  <c r="N91" i="1"/>
  <c r="M91" i="1"/>
  <c r="N90" i="1"/>
  <c r="M90" i="1"/>
  <c r="N89" i="1"/>
  <c r="M89" i="1"/>
  <c r="N88" i="1"/>
  <c r="M88" i="1"/>
  <c r="N87" i="1"/>
  <c r="M87" i="1"/>
  <c r="N86" i="1"/>
  <c r="M86" i="1"/>
  <c r="N85" i="1"/>
  <c r="M85" i="1"/>
  <c r="N84" i="1"/>
  <c r="M84" i="1"/>
  <c r="N83" i="1"/>
  <c r="M83" i="1"/>
  <c r="N82" i="1"/>
  <c r="M82" i="1"/>
  <c r="N81" i="1"/>
  <c r="M81" i="1"/>
  <c r="N80" i="1"/>
  <c r="M80" i="1"/>
  <c r="N79" i="1"/>
  <c r="M79" i="1"/>
  <c r="N78" i="1"/>
  <c r="M78" i="1"/>
  <c r="N77" i="1"/>
  <c r="M77" i="1"/>
  <c r="N76" i="1"/>
  <c r="M76" i="1"/>
  <c r="N75" i="1"/>
  <c r="M75" i="1"/>
  <c r="N74" i="1"/>
  <c r="M74" i="1"/>
  <c r="N73" i="1"/>
  <c r="M73" i="1"/>
  <c r="N72" i="1"/>
  <c r="M72" i="1"/>
  <c r="N71" i="1"/>
  <c r="M71" i="1"/>
  <c r="N70" i="1"/>
  <c r="M70" i="1"/>
  <c r="N69" i="1"/>
  <c r="M69" i="1"/>
  <c r="N68" i="1"/>
  <c r="M68" i="1"/>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 r="N4" i="1"/>
  <c r="M4" i="1"/>
  <c r="N3" i="1"/>
  <c r="M3" i="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<sst xmlns="http://schemas.openxmlformats.org/spreadsheetml/2006/main" count="14662" uniqueCount="2570">
  <si>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</si>
  <si>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</si>
  <si>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</si>
  <si>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</si>
  <si>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</si>
  <si>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</si>
  <si>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</si>
  <si>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</si>
  <si>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</si>
  <si>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</si>
  <si>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</si>
  <si>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</si>
  <si>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</si>
  <si>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</si>
  <si>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</si>
  <si>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</si>
  <si>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</si>
  <si>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</si>
  <si>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</si>
  <si>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</si>
  <si>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</si>
  <si>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</si>
  <si>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</si>
  <si>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</si>
  <si>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</si>
  <si>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</si>
  <si>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</si>
  <si>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</si>
  <si>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</si>
  <si>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</si>
  <si>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</si>
  <si>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</si>
  <si>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</si>
  <si>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</si>
  <si>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</si>
  <si>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</si>
  <si>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</si>
  <si>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</si>
  <si>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</si>
  <si>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</si>
  <si>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</si>
  <si>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</si>
  <si>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</si>
  <si>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</si>
  <si>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</si>
  <si>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</si>
  <si>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</si>
  <si>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</si>
  <si>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</si>
  <si>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</si>
  <si>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</si>
  <si>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</si>
  <si>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</si>
  <si>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</si>
  <si>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</si>
  <si>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</si>
  <si>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</si>
  <si>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</si>
  <si>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</si>
  <si>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</si>
  <si>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</si>
  <si>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</si>
  <si>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</si>
  <si>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</si>
  <si>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</si>
  <si>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</si>
  <si>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</si>
  <si>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</si>
  <si>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</si>
  <si>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</si>
  <si>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</si>
  <si>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</si>
  <si>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</si>
  <si>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</si>
  <si>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</si>
  <si>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</si>
  <si>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</si>
  <si>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</si>
  <si>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</si>
  <si>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</si>
  <si>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</si>
  <si>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</si>
  <si>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</si>
  <si>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</si>
  <si>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</si>
  <si>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</si>
  <si>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</si>
  <si>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</si>
  <si>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</si>
  <si>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</si>
  <si>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</si>
  <si>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</si>
  <si>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</si>
  <si>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</si>
  <si>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</si>
  <si>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</si>
  <si>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</si>
  <si>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</si>
  <si>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</si>
  <si>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</si>
  <si>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</si>
  <si>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</si>
  <si>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</si>
  <si>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</si>
  <si>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</si>
  <si>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</si>
  <si>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</si>
  <si>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</si>
  <si>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</si>
  <si>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</si>
  <si>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</si>
  <si>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</si>
  <si>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</si>
  <si>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</si>
  <si>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</si>
  <si>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</si>
  <si>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</si>
  <si>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</si>
  <si>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</si>
  <si>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</si>
  <si>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</si>
  <si>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</si>
  <si>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</si>
  <si>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</si>
  <si>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</si>
  <si>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</si>
  <si>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</si>
  <si>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</si>
  <si>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</si>
  <si>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</si>
  <si>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</si>
  <si>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</si>
  <si>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</si>
  <si>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</si>
  <si>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</si>
  <si>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</si>
  <si>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</si>
  <si>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</si>
  <si>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</si>
  <si>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</si>
  <si>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</si>
  <si>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</si>
  <si>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</si>
  <si>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</si>
  <si>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</si>
  <si>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</si>
  <si>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</si>
  <si>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</si>
  <si>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</si>
  <si>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</si>
  <si>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</si>
  <si>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</si>
  <si>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</si>
  <si>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</si>
  <si>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</si>
  <si>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</si>
  <si>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</si>
  <si>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</si>
  <si>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</si>
  <si>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</si>
  <si>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</si>
  <si>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</si>
  <si>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</si>
  <si>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</si>
  <si>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</si>
  <si>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</si>
  <si>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</si>
  <si>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</si>
  <si>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</si>
  <si>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</si>
  <si>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</si>
  <si>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</si>
  <si>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</si>
  <si>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</si>
  <si>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</si>
  <si>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</si>
  <si>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</si>
  <si>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</si>
  <si>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</si>
  <si>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</si>
  <si>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</si>
  <si>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</si>
  <si>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</si>
  <si>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</si>
  <si>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</si>
  <si>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</si>
  <si>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</si>
  <si>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</si>
  <si>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</si>
  <si>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</si>
  <si>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</si>
  <si>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</si>
  <si>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</si>
  <si>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</si>
  <si>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</si>
  <si>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</si>
  <si>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</si>
  <si>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</si>
  <si>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</si>
  <si>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</si>
  <si>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</si>
  <si>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</si>
  <si>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</si>
  <si>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</si>
  <si>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</si>
  <si>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</si>
  <si>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</si>
  <si>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</si>
  <si>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</si>
  <si>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</si>
  <si>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</si>
  <si>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</si>
  <si>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</si>
  <si>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</si>
  <si>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</si>
  <si>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</si>
  <si>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</si>
  <si>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</si>
  <si>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</si>
  <si>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</si>
  <si>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</si>
  <si>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</si>
  <si>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</si>
  <si>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</si>
  <si>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</si>
  <si>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</si>
  <si>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</si>
  <si>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</si>
  <si>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</si>
  <si>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</si>
  <si>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</si>
  <si>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</si>
  <si>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</si>
  <si>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</si>
  <si>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</si>
  <si>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</si>
  <si>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</si>
  <si>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</si>
  <si>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</si>
  <si>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</si>
  <si>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</si>
  <si>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</si>
  <si>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</si>
  <si>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</si>
  <si>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</si>
  <si>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</si>
  <si>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</si>
  <si>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</si>
  <si>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</si>
  <si>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</si>
  <si>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</si>
  <si>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</si>
  <si>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</si>
  <si>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</si>
  <si>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</si>
  <si>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</si>
  <si>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</si>
  <si>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</si>
  <si>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</si>
  <si>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</si>
  <si>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</si>
  <si>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</si>
  <si>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</si>
  <si>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</si>
  <si>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</si>
  <si>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</si>
  <si>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</si>
  <si>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</si>
  <si>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</si>
  <si>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</si>
  <si>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</si>
  <si>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</si>
  <si>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</si>
  <si>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</si>
  <si>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</si>
  <si>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</si>
  <si>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</si>
  <si>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</si>
  <si>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</si>
  <si>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</si>
  <si>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</si>
  <si>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</si>
  <si>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</si>
  <si>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</si>
  <si>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</si>
  <si>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</si>
  <si>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</si>
  <si>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</si>
  <si>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</si>
  <si>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</si>
  <si>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</si>
  <si>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</si>
  <si>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</si>
  <si>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</si>
  <si>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</si>
  <si>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</si>
  <si>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</si>
  <si>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</si>
  <si>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</si>
  <si>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</si>
  <si>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</si>
  <si>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</si>
  <si>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</si>
  <si>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</si>
  <si>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</si>
  <si>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</si>
  <si>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</si>
  <si>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</si>
  <si>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</si>
  <si>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</si>
  <si>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</si>
  <si>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</si>
  <si>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</si>
  <si>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</si>
  <si>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</si>
  <si>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</si>
  <si>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</si>
  <si>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</si>
  <si>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</si>
  <si>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</si>
  <si>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</si>
  <si>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</si>
  <si>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</si>
  <si>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</si>
  <si>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</si>
  <si>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</si>
  <si>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</si>
  <si>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</si>
  <si>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</si>
  <si>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</si>
  <si>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</si>
  <si>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</si>
  <si>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</si>
  <si>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</si>
  <si>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</si>
  <si>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</si>
  <si>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</si>
  <si>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</si>
  <si>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</si>
  <si>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</si>
  <si>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</si>
  <si>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</si>
  <si>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</si>
  <si>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</si>
  <si>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</si>
  <si>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</si>
  <si>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</si>
  <si>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</si>
  <si>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</si>
  <si>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</si>
  <si>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</si>
  <si>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</si>
  <si>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</si>
  <si>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</si>
  <si>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</si>
  <si>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</si>
  <si>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</si>
  <si>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</si>
  <si>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</si>
  <si>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</si>
  <si>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</si>
  <si>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</si>
  <si>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</si>
  <si>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</si>
  <si>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</si>
  <si>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</si>
  <si>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</si>
  <si>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</si>
  <si>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</si>
  <si>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</si>
  <si>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</si>
  <si>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</si>
  <si>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</si>
  <si>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</si>
  <si>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</si>
  <si>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</si>
  <si>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</si>
  <si>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</si>
  <si>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</si>
  <si>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</si>
  <si>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</si>
  <si>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</si>
  <si>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</si>
  <si>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</si>
  <si>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</si>
  <si>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</si>
  <si>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</si>
  <si>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</si>
  <si>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</si>
  <si>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</si>
  <si>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</si>
  <si>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</si>
  <si>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</si>
  <si>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</si>
  <si>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</si>
  <si>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</si>
  <si>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</si>
  <si>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</si>
  <si>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</si>
  <si>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</si>
  <si>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</si>
  <si>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</si>
  <si>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</si>
  <si>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</si>
  <si>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</si>
  <si>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</si>
  <si>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</si>
  <si>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</si>
  <si>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</si>
  <si>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</si>
  <si>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</si>
  <si>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</si>
  <si>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</si>
  <si>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</si>
  <si>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</si>
  <si>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</si>
  <si>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</si>
  <si>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</si>
  <si>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</si>
  <si>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</si>
  <si>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</si>
  <si>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</si>
  <si>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</si>
  <si>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</si>
  <si>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</si>
  <si>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</si>
  <si>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</si>
  <si>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</si>
  <si>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</si>
  <si>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</si>
  <si>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</si>
  <si>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</si>
  <si>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</si>
  <si>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</si>
  <si>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</si>
  <si>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</si>
  <si>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</si>
  <si>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</si>
  <si>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</si>
  <si>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</si>
  <si>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</si>
  <si>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</si>
  <si>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</si>
  <si>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</si>
  <si>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</si>
  <si>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</si>
  <si>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</si>
  <si>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</si>
  <si>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</si>
  <si>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</si>
  <si>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</si>
  <si>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</si>
  <si>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</si>
  <si>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</si>
  <si>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</si>
  <si>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</si>
  <si>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</si>
  <si>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</si>
  <si>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</si>
  <si>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</si>
  <si>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</si>
  <si>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</si>
  <si>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</si>
  <si>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</si>
  <si>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</si>
  <si>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</si>
  <si>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</si>
  <si>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</si>
  <si>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</si>
  <si>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</si>
  <si>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</si>
  <si>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</si>
  <si>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</si>
  <si>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</si>
  <si>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</si>
  <si>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</si>
  <si>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</si>
  <si>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</si>
  <si>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</si>
  <si>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</si>
  <si>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</si>
  <si>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</si>
  <si>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</si>
  <si>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</si>
  <si>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</si>
  <si>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</si>
  <si>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</si>
  <si>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</si>
  <si>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</si>
  <si>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</si>
  <si>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</si>
  <si>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</si>
  <si>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</si>
  <si>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</si>
  <si>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</si>
  <si>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</si>
  <si>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</si>
  <si>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</si>
  <si>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</si>
  <si>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</si>
  <si>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</si>
  <si>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</si>
  <si>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</si>
  <si>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</si>
  <si>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</si>
  <si>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</si>
  <si>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</si>
  <si>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</si>
  <si>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</si>
  <si>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</si>
  <si>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</si>
  <si>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</si>
  <si>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</si>
  <si>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</si>
  <si>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</si>
  <si>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</si>
  <si>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</si>
  <si>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</si>
  <si>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</si>
  <si>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</si>
  <si>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</si>
  <si>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</si>
  <si>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</si>
  <si>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</si>
  <si>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</si>
  <si>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</si>
  <si>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</si>
  <si>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</si>
  <si>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</si>
  <si>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</si>
  <si>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</si>
  <si>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</si>
  <si>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</si>
  <si>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</si>
  <si>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</si>
  <si>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</si>
  <si>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</si>
  <si>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</si>
  <si>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</si>
  <si>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</si>
  <si>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</si>
  <si>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</si>
  <si>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</si>
  <si>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</si>
  <si>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</si>
  <si>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</si>
  <si>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</si>
  <si>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</si>
  <si>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</si>
  <si>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</si>
  <si>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</si>
  <si>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</si>
  <si>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</si>
  <si>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</si>
  <si>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</si>
  <si>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</si>
  <si>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</si>
  <si>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</si>
  <si>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</si>
  <si>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</si>
  <si>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</si>
  <si>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</si>
  <si>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</si>
  <si>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</si>
  <si>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</si>
  <si>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</si>
  <si>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</si>
  <si>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</si>
  <si>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</si>
  <si>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</si>
  <si>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</si>
  <si>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</si>
  <si>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</si>
  <si>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</si>
  <si>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</si>
  <si>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</si>
  <si>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</si>
  <si>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</si>
  <si>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</si>
  <si>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</si>
  <si>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</si>
  <si>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</si>
  <si>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</si>
  <si>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</si>
  <si>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</si>
  <si>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</si>
  <si>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</si>
  <si>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</si>
  <si>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</si>
  <si>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</si>
  <si>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</si>
  <si>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</si>
  <si>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</si>
  <si>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</si>
  <si>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</si>
  <si>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</si>
  <si>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</si>
  <si>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</si>
  <si>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</si>
  <si>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</si>
  <si>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</si>
  <si>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</si>
  <si>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</si>
  <si>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</si>
  <si>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</si>
  <si>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</si>
  <si>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</si>
  <si>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</si>
  <si>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</si>
  <si>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</si>
  <si>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</si>
  <si>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</si>
  <si>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</si>
  <si>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</si>
  <si>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</si>
  <si>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</si>
  <si>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</si>
  <si>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</si>
  <si>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</si>
  <si>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</si>
  <si>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</si>
  <si>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</si>
  <si>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</si>
  <si>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</si>
  <si>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</si>
  <si>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</si>
  <si>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</si>
  <si>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</si>
  <si>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</si>
  <si>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</si>
  <si>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</si>
  <si>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</si>
  <si>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</si>
  <si>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</si>
  <si>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</si>
  <si>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</si>
  <si>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</si>
  <si>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</si>
  <si>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</si>
  <si>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</si>
  <si>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</si>
  <si>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</si>
  <si>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</si>
  <si>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</si>
  <si>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</si>
  <si>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</si>
  <si>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</si>
  <si>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</si>
  <si>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</si>
  <si>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</si>
  <si>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</si>
  <si>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</si>
  <si>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</si>
  <si>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</si>
  <si>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</si>
  <si>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</si>
  <si>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</si>
  <si>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</si>
  <si>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</si>
  <si>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</si>
  <si>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</si>
  <si>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</si>
  <si>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</si>
  <si>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</si>
  <si>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</si>
  <si>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</si>
  <si>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</si>
  <si>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</si>
  <si>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</si>
  <si>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</si>
  <si>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</si>
  <si>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</si>
  <si>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</si>
  <si>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</si>
  <si>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</si>
  <si>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</si>
  <si>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</si>
  <si>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</si>
  <si>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</si>
  <si>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</si>
  <si>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</si>
  <si>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</si>
  <si>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</si>
  <si>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</si>
  <si>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</si>
  <si>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</si>
  <si>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</si>
  <si>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</si>
  <si>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</si>
  <si>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</si>
  <si>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</si>
  <si>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</si>
  <si>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</si>
  <si>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</si>
  <si>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</si>
  <si>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</si>
  <si>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</si>
  <si>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</si>
  <si>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</si>
  <si>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</si>
  <si>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</si>
  <si>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</si>
  <si>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</si>
  <si>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</si>
  <si>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</si>
  <si>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</si>
  <si>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</si>
  <si>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</si>
  <si>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</si>
  <si>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</si>
  <si>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</si>
  <si>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</si>
  <si>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</si>
  <si>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</si>
  <si>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</si>
  <si>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</si>
  <si>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</si>
  <si>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</si>
  <si>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</si>
  <si>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</si>
  <si>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</si>
  <si>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</si>
  <si>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</si>
  <si>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</si>
  <si>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</si>
  <si>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</si>
  <si>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</si>
  <si>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</si>
  <si>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</si>
  <si>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</si>
  <si>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</si>
  <si>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</si>
  <si>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</si>
  <si>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</si>
  <si>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</si>
  <si>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</si>
  <si>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</si>
  <si>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</si>
  <si>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</si>
  <si>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</si>
  <si>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</si>
  <si>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</si>
  <si>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</si>
  <si>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</si>
  <si>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</si>
  <si>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</si>
  <si>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</si>
  <si>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</si>
  <si>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</si>
  <si>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</si>
  <si>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</si>
  <si>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</si>
  <si>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</si>
  <si>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</si>
  <si>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</si>
  <si>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</si>
  <si>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</si>
  <si>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</si>
  <si>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</si>
  <si>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</si>
  <si>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</si>
  <si>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</si>
  <si>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</si>
  <si>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</si>
  <si>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</si>
  <si>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</si>
  <si>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</si>
  <si>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</si>
  <si>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</si>
  <si>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</si>
  <si>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</si>
  <si>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</si>
  <si>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</si>
  <si>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</si>
  <si>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</si>
  <si>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</si>
  <si>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</si>
  <si>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</si>
  <si>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</si>
  <si>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</si>
  <si>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</si>
  <si>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</si>
  <si>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</si>
  <si>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</si>
  <si>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</si>
  <si>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</si>
  <si>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</si>
  <si>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</si>
  <si>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</si>
  <si>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</si>
  <si>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</si>
  <si>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</si>
  <si>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</si>
  <si>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</si>
  <si>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</si>
  <si>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</si>
  <si>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</si>
  <si>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</si>
  <si>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</si>
  <si>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</si>
  <si>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</si>
  <si>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</si>
  <si>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</si>
  <si>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</si>
  <si>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</si>
  <si>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</si>
  <si>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</si>
  <si>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</si>
  <si>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</si>
  <si>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</si>
  <si>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</si>
  <si>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</si>
  <si>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</si>
  <si>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</si>
  <si>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</si>
  <si>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</si>
  <si>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</si>
  <si>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</si>
  <si>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</si>
  <si>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</si>
  <si>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</si>
  <si>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</si>
  <si>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</si>
  <si>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</si>
  <si>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</si>
  <si>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</si>
  <si>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</si>
  <si>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</si>
  <si>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</si>
  <si>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</si>
  <si>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</si>
  <si>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</si>
  <si>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</si>
  <si>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</si>
  <si>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</si>
  <si>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</si>
  <si>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</si>
  <si>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</si>
  <si>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</si>
  <si>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</si>
  <si>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</si>
  <si>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</si>
  <si>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</si>
  <si>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</si>
  <si>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</si>
  <si>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</si>
  <si>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</si>
  <si>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</si>
  <si>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</si>
  <si>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</si>
  <si>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</si>
  <si>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</si>
  <si>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</si>
  <si>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</si>
  <si>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</si>
  <si>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</si>
  <si>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</si>
  <si>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</si>
  <si>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</si>
  <si>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</si>
  <si>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</si>
  <si>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</si>
  <si>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</si>
  <si>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</si>
  <si>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</si>
  <si>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</si>
  <si>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</si>
  <si>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</si>
  <si>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</si>
  <si>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</si>
  <si>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</si>
  <si>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</si>
  <si>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</si>
  <si>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</si>
  <si>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</si>
  <si>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</si>
  <si>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</si>
  <si>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</si>
  <si>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</si>
  <si>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</si>
  <si>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</si>
  <si>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</si>
  <si>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</si>
  <si>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</si>
  <si>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</si>
  <si>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</si>
  <si>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</si>
  <si>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</si>
  <si>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</si>
  <si>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</si>
  <si>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</si>
  <si>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</si>
  <si>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</si>
  <si>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</si>
  <si>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</si>
  <si>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</si>
  <si>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</si>
  <si>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</si>
  <si>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</si>
  <si>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</si>
  <si>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</si>
  <si>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</si>
  <si>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</si>
  <si>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</si>
  <si>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</si>
  <si>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</si>
  <si>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</si>
  <si>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</si>
  <si>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</si>
  <si>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</si>
  <si>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</si>
  <si>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</si>
  <si>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</si>
  <si>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</si>
  <si>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</si>
  <si>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</si>
  <si>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</si>
  <si>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</si>
  <si>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</si>
  <si>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</si>
  <si>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</si>
  <si>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</si>
  <si>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</si>
  <si>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</si>
  <si>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</si>
  <si>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</si>
  <si>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</si>
  <si>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</si>
  <si>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</si>
  <si>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</si>
  <si>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</si>
  <si>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</si>
  <si>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</si>
  <si>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</si>
  <si>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</si>
  <si>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</si>
  <si>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</si>
  <si>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</si>
  <si>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</si>
  <si>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</si>
  <si>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</si>
  <si>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</si>
  <si>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</si>
  <si>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</si>
  <si>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</si>
  <si>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</si>
  <si>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</si>
  <si>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</si>
  <si>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</si>
  <si>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</si>
  <si>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</si>
  <si>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</si>
  <si>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</si>
  <si>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</si>
  <si>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</si>
  <si>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</si>
  <si>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</si>
  <si>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</si>
  <si>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</si>
  <si>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</si>
  <si>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</si>
  <si>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</si>
  <si>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</si>
  <si>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</si>
  <si>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</si>
  <si>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</si>
  <si>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</si>
  <si>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</si>
  <si>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</si>
  <si>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</si>
  <si>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</si>
  <si>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</si>
  <si>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</si>
  <si>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</si>
  <si>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</si>
  <si>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</si>
  <si>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</si>
  <si>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</si>
  <si>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</si>
  <si>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</si>
  <si>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</si>
  <si>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</si>
  <si>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</si>
  <si>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</si>
  <si>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</si>
  <si>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</si>
  <si>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</si>
  <si>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</si>
  <si>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</si>
  <si>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</si>
  <si>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</si>
  <si>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</si>
  <si>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</si>
  <si>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</si>
  <si>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</si>
  <si>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</si>
  <si>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</si>
  <si>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</si>
  <si>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</si>
  <si>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</si>
  <si>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</si>
  <si>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</si>
  <si>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</si>
  <si>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</si>
  <si>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</si>
  <si>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</si>
  <si>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</si>
  <si>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</si>
  <si>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</si>
  <si>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</si>
  <si>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</si>
  <si>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</si>
  <si>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</si>
  <si>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</si>
  <si>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</si>
  <si>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</si>
  <si>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</si>
  <si>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</si>
  <si>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</si>
  <si>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</si>
  <si>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</si>
  <si>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</si>
  <si>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</si>
  <si>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</si>
  <si>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</si>
  <si>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</si>
  <si>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</si>
  <si>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</si>
  <si>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</si>
  <si>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</si>
  <si>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</si>
  <si>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</si>
  <si>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</si>
  <si>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</si>
  <si>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</si>
  <si>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</si>
  <si>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</si>
  <si>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</si>
  <si>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</si>
  <si>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</si>
  <si>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</si>
  <si>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</si>
  <si>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</si>
  <si>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</si>
  <si>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</si>
  <si>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</si>
  <si>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</si>
  <si>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</si>
  <si>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</si>
  <si>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</si>
  <si>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</si>
  <si>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</si>
  <si>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</si>
  <si>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</si>
  <si>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</si>
  <si>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</si>
  <si>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</si>
  <si>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</si>
  <si>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</si>
  <si>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</si>
  <si>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</si>
  <si>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</si>
  <si>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</si>
  <si>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</si>
  <si>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</si>
  <si>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</si>
  <si>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</si>
  <si>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</si>
  <si>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</si>
  <si>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</si>
  <si>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</si>
  <si>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</si>
  <si>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</si>
  <si>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</si>
  <si>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</si>
  <si>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</si>
  <si>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</si>
  <si>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</si>
  <si>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</si>
  <si>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</si>
  <si>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</si>
  <si>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</si>
  <si>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</si>
  <si>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</si>
  <si>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</si>
  <si>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</si>
  <si>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</si>
  <si>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</si>
  <si>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</si>
  <si>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</si>
  <si>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</si>
  <si>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</si>
  <si>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</si>
  <si>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</si>
  <si>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</si>
  <si>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</si>
  <si>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</si>
  <si>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</si>
  <si>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</si>
  <si>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</si>
  <si>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</si>
  <si>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</si>
  <si>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</si>
  <si>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</si>
  <si>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</si>
  <si>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</si>
  <si>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</si>
  <si>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</si>
  <si>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</si>
  <si>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</si>
  <si>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</si>
  <si>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</si>
  <si>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</si>
  <si>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</si>
  <si>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</si>
  <si>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</si>
  <si>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</si>
  <si>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</si>
  <si>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</si>
  <si>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</si>
  <si>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</si>
  <si>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</si>
  <si>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</si>
  <si>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</si>
  <si>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</si>
  <si>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</si>
  <si>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</si>
  <si>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</si>
  <si>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</si>
  <si>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</si>
  <si>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</si>
  <si>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</si>
  <si>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</si>
  <si>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</si>
  <si>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</si>
  <si>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</si>
  <si>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</si>
  <si>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</si>
  <si>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</si>
  <si>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</si>
  <si>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</si>
  <si>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</si>
  <si>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</si>
  <si>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</si>
  <si>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</si>
  <si>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</si>
  <si>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</si>
  <si>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</si>
  <si>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</si>
  <si>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</si>
  <si>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</si>
  <si>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</si>
  <si>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</si>
  <si>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</si>
  <si>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</si>
  <si>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</si>
  <si>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</si>
  <si>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</si>
  <si>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</si>
  <si>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</si>
  <si>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</si>
  <si>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</si>
  <si>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</si>
  <si>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</si>
  <si>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</si>
  <si>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</si>
  <si>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</si>
  <si>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</si>
  <si>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</si>
  <si>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</si>
  <si>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</si>
  <si>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</si>
  <si>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</si>
  <si>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</si>
  <si>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</si>
  <si>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</si>
  <si>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</si>
  <si>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</si>
  <si>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</si>
  <si>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</si>
  <si>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</si>
  <si>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</si>
  <si>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</si>
  <si>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</si>
  <si>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</si>
  <si>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</si>
  <si>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</si>
  <si>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</si>
  <si>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</si>
  <si>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</si>
  <si>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</si>
  <si>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</si>
  <si>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</si>
  <si>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</si>
  <si>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</si>
  <si>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</si>
  <si>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</si>
  <si>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</si>
  <si>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</si>
  <si>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</si>
  <si>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</si>
  <si>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</si>
  <si>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</si>
  <si>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</si>
  <si>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</si>
  <si>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</si>
  <si>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</si>
  <si>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</si>
  <si>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</si>
  <si>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</si>
  <si>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</si>
  <si>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</si>
  <si>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</si>
  <si>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</si>
  <si>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</si>
  <si>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</si>
  <si>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</si>
  <si>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</si>
  <si>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</si>
  <si>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</si>
  <si>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</si>
  <si>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</si>
  <si>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</si>
  <si>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</si>
  <si>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</si>
  <si>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</si>
  <si>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</si>
  <si>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</si>
  <si>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</si>
  <si>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</si>
  <si>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</si>
  <si>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</si>
  <si>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</si>
  <si>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</si>
  <si>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</si>
  <si>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</si>
  <si>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</si>
  <si>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</si>
  <si>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</si>
  <si>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</si>
  <si>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</si>
  <si>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</si>
  <si>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</si>
  <si>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</si>
  <si>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</si>
  <si>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</si>
  <si>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</si>
  <si>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</si>
  <si>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</si>
  <si>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</si>
  <si>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</si>
  <si>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</si>
  <si>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</si>
  <si>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</si>
  <si>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</si>
  <si>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</si>
  <si>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</si>
  <si>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</si>
  <si>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</si>
  <si>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</si>
  <si>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</si>
  <si>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</si>
  <si>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</si>
  <si>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</si>
  <si>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</si>
  <si>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</si>
  <si>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</si>
  <si>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</si>
  <si>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</si>
  <si>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</si>
  <si>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</si>
  <si>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</si>
  <si>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</si>
  <si>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</si>
  <si>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</si>
  <si>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</si>
  <si>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</si>
  <si>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</si>
  <si>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</si>
  <si>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</si>
  <si>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</si>
  <si>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</si>
  <si>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</si>
  <si>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</si>
  <si>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</si>
  <si>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</si>
  <si>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</si>
  <si>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</si>
  <si>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</si>
  <si>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</si>
  <si>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</si>
  <si>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</si>
  <si>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</si>
  <si>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</si>
  <si>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</si>
  <si>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</si>
  <si>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</si>
  <si>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</si>
  <si>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</si>
  <si>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</si>
  <si>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</si>
  <si>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</si>
  <si>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</si>
  <si>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</si>
  <si>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</si>
  <si>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</si>
  <si>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</si>
  <si>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</si>
  <si>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</si>
  <si>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</si>
  <si>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</si>
  <si>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</si>
  <si>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</si>
  <si>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</si>
  <si>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</si>
  <si>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</si>
  <si>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</si>
  <si>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</si>
  <si>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</si>
  <si>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</si>
  <si>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</si>
  <si>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</si>
  <si>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</si>
  <si>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</si>
  <si>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</si>
  <si>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</si>
  <si>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</si>
  <si>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</si>
  <si>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</si>
  <si>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</si>
  <si>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</si>
  <si>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</si>
  <si>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</si>
  <si>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</si>
  <si>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</si>
  <si>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</si>
  <si>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</si>
  <si>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</si>
  <si>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</si>
  <si>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</si>
  <si>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</si>
  <si>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</si>
  <si>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</si>
  <si>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</si>
  <si>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</si>
  <si>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</si>
  <si>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</si>
  <si>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</si>
  <si>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</si>
  <si>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</si>
  <si>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</si>
  <si>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</si>
  <si>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</si>
  <si>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</si>
  <si>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</si>
  <si>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</si>
  <si>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</si>
  <si>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</si>
  <si>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</si>
  <si>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</si>
  <si>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</si>
  <si>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</si>
  <si>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</si>
  <si>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</si>
  <si>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</si>
  <si>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</si>
  <si>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</si>
  <si>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</si>
  <si>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</si>
  <si>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</si>
  <si>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</si>
  <si>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</si>
  <si>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</si>
  <si>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</si>
  <si>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</si>
  <si>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</si>
  <si>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</si>
  <si>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</si>
  <si>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</si>
  <si>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</si>
  <si>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</si>
  <si>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</si>
  <si>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</si>
  <si>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</si>
  <si>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</si>
  <si>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</si>
  <si>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</si>
  <si>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</si>
  <si>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</si>
  <si>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</si>
  <si>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</si>
  <si>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</si>
  <si>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</si>
  <si>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</si>
  <si>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</si>
  <si>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</si>
  <si>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</si>
  <si>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</si>
  <si>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</si>
  <si>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</si>
  <si>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</si>
  <si>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</si>
  <si>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</si>
  <si>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</si>
  <si>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</si>
  <si>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</si>
  <si>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</si>
  <si>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</si>
  <si>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</si>
  <si>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</si>
  <si>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</si>
  <si>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</si>
  <si>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</si>
  <si>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</si>
  <si>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</si>
  <si>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</si>
  <si>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</si>
  <si>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</si>
  <si>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</si>
  <si>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</si>
  <si>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</si>
  <si>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</si>
  <si>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</si>
  <si>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</si>
  <si>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</si>
  <si>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</si>
  <si>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</si>
  <si>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</si>
  <si>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</si>
  <si>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</si>
  <si>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</si>
  <si>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</si>
  <si>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</si>
  <si>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</si>
  <si>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</si>
  <si>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</si>
  <si>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</si>
  <si>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</si>
  <si>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</si>
  <si>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</si>
  <si>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</si>
  <si>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</si>
  <si>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</si>
  <si>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</si>
  <si>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</si>
  <si>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</si>
  <si>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</si>
  <si>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</si>
  <si>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</si>
  <si>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</si>
  <si>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</si>
  <si>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</si>
  <si>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</si>
  <si>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</si>
  <si>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</si>
  <si>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</si>
  <si>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</si>
  <si>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</si>
  <si>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</si>
  <si>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</si>
  <si>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</si>
  <si>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</si>
  <si>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</si>
  <si>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</si>
  <si>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</si>
  <si>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</si>
  <si>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</si>
  <si>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</si>
  <si>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</si>
  <si>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</si>
  <si>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</si>
  <si>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</si>
  <si>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</si>
  <si>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</si>
  <si>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</si>
  <si>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</si>
  <si>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</si>
  <si>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</si>
  <si>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</si>
  <si>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</si>
  <si>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</si>
  <si>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</si>
  <si>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</si>
  <si>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</si>
  <si>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</si>
  <si>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</si>
  <si>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</si>
  <si>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</si>
  <si>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</si>
  <si>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</si>
  <si>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</si>
  <si>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</si>
  <si>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</si>
  <si>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</si>
  <si>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</si>
  <si>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</si>
  <si>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</si>
  <si>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</si>
  <si>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</si>
  <si>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</si>
  <si>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</si>
  <si>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</si>
  <si>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</si>
  <si>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</si>
  <si>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</si>
  <si>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</si>
  <si>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</si>
  <si>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</si>
  <si>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</si>
  <si>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</si>
  <si>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</si>
  <si>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</si>
  <si>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</si>
  <si>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</si>
  <si>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</si>
  <si>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</si>
  <si>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</si>
  <si>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</si>
  <si>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</si>
  <si>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</si>
  <si>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</si>
  <si>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</si>
  <si>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</si>
  <si>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</si>
  <si>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</si>
  <si>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</si>
  <si>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</si>
  <si>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</si>
  <si>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</si>
  <si>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</si>
  <si>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</si>
  <si>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</si>
  <si>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</si>
  <si>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</si>
  <si>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</si>
  <si>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</si>
  <si>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</si>
  <si>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</si>
  <si>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</si>
  <si>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</si>
  <si>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</si>
  <si>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</si>
  <si>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</si>
  <si>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</si>
  <si>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</si>
  <si>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</si>
  <si>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</si>
  <si>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</si>
  <si>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</si>
  <si>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</si>
  <si>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</si>
  <si>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</si>
  <si>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</si>
  <si>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</si>
  <si>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</si>
  <si>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</si>
  <si>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</si>
  <si>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</si>
  <si>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</si>
  <si>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</si>
  <si>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</si>
  <si>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</si>
  <si>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</si>
  <si>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</si>
  <si>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</si>
  <si>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</si>
  <si>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</si>
  <si>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</si>
  <si>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</si>
  <si>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</si>
  <si>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</si>
  <si>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</si>
  <si>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</si>
  <si>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</si>
  <si>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</si>
  <si>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</si>
  <si>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</si>
  <si>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</si>
  <si>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</si>
  <si>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</si>
  <si>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</si>
  <si>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</si>
  <si>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</si>
  <si>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</si>
  <si>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</si>
  <si>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</si>
  <si>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</si>
  <si>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</si>
  <si>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</si>
  <si>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</si>
  <si>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</si>
  <si>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</si>
  <si>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</si>
  <si>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</si>
  <si>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</si>
  <si>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</si>
  <si>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</si>
  <si>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</si>
  <si>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</si>
  <si>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</si>
  <si>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</si>
  <si>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</si>
  <si>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</si>
  <si>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</si>
  <si>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</si>
  <si>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</si>
  <si>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</si>
  <si>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</si>
  <si>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</si>
  <si>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</si>
  <si>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</si>
  <si>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</si>
  <si>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</si>
  <si>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</si>
  <si>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</si>
  <si>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</si>
  <si>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</si>
  <si>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</si>
  <si>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</si>
  <si>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</si>
  <si>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</si>
  <si>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</si>
  <si>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</si>
  <si>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</si>
  <si>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</si>
  <si>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</si>
  <si>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</si>
  <si>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</si>
  <si>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</si>
  <si>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</si>
  <si>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</si>
  <si>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</si>
  <si>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</si>
  <si>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</si>
  <si>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</si>
  <si>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</si>
  <si>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</si>
  <si>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</si>
  <si>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</si>
  <si>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</si>
  <si>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</si>
  <si>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</si>
  <si>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</si>
  <si>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</si>
  <si>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</si>
  <si>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</si>
  <si>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</si>
  <si>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</si>
  <si>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</si>
  <si>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</si>
  <si>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</si>
  <si>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</si>
  <si>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</si>
  <si>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</si>
  <si>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</si>
  <si>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</si>
  <si>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</si>
  <si>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</si>
  <si>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</si>
  <si>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</si>
  <si>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</si>
  <si>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</si>
  <si>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</si>
  <si>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</si>
  <si>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</si>
  <si>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</si>
  <si>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</si>
  <si>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</si>
  <si>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</si>
  <si>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</si>
  <si>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</si>
  <si>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</si>
  <si>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</si>
  <si>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</si>
  <si>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</si>
  <si>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</si>
  <si>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</si>
  <si>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</si>
  <si>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</si>
  <si>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</si>
  <si>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</si>
  <si>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</si>
  <si>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</si>
  <si>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</si>
  <si>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</si>
  <si>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</si>
  <si>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</si>
  <si>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</si>
  <si>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</si>
  <si>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</si>
  <si>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</si>
  <si>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</si>
  <si>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</si>
  <si>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</si>
  <si>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</si>
  <si>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</si>
  <si>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</si>
  <si>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</si>
  <si>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</si>
  <si>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</si>
  <si>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</si>
  <si>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</si>
  <si>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</si>
  <si>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</si>
  <si>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</si>
  <si>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</si>
  <si>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</si>
  <si>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</si>
  <si>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</si>
  <si>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</si>
  <si>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</si>
  <si>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</si>
  <si>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</si>
  <si>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</si>
  <si>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</si>
  <si>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</si>
  <si>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</si>
  <si>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</si>
  <si>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</si>
  <si>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</si>
  <si>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</si>
  <si>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</si>
  <si>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</si>
  <si>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</si>
  <si>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</si>
  <si>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</si>
  <si>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</si>
  <si>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</si>
  <si>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</si>
  <si>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</si>
  <si>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</si>
  <si>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</si>
  <si>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</si>
  <si>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</si>
  <si>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</si>
  <si>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</si>
  <si>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</si>
  <si>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</si>
  <si>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</si>
  <si>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</si>
  <si>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</si>
  <si>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</si>
  <si>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</si>
  <si>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</si>
  <si>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</si>
  <si>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</si>
  <si>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</si>
  <si>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</si>
  <si>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</si>
  <si>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</si>
  <si>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</si>
  <si>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</si>
  <si>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</si>
  <si>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</si>
  <si>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</si>
  <si>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</si>
  <si>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</si>
  <si>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</si>
  <si>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</si>
  <si>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</si>
  <si>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</si>
  <si>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</si>
  <si>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</si>
  <si>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</si>
  <si>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</si>
  <si>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</si>
  <si>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</si>
  <si>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</si>
  <si>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</si>
  <si>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</si>
  <si>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</si>
  <si>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</si>
  <si>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</si>
  <si>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</si>
  <si>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</si>
  <si>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</si>
  <si>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</si>
  <si>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</si>
  <si>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</si>
  <si>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</si>
  <si>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</si>
  <si>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</si>
  <si>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</si>
  <si>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</si>
  <si>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</si>
  <si>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</si>
  <si>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</si>
  <si>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</si>
  <si>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</si>
  <si>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</si>
  <si>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</si>
  <si>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</si>
  <si>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</si>
  <si>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</si>
  <si>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</si>
  <si>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</si>
  <si>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</si>
  <si>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</si>
  <si>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</si>
  <si>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</si>
  <si>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</si>
  <si>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</si>
  <si>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</si>
  <si>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</si>
  <si>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</si>
  <si>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</si>
  <si>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</si>
  <si>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</si>
  <si>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</si>
  <si>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</si>
  <si>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</si>
  <si>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</si>
  <si>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</si>
  <si>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</si>
  <si>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</si>
  <si>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</si>
  <si>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</si>
  <si>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</si>
  <si>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</si>
  <si>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</si>
  <si>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</si>
  <si>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</si>
  <si>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</si>
  <si>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</si>
  <si>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</si>
  <si>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</si>
  <si>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</si>
  <si>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</si>
  <si>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</si>
  <si>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</si>
  <si>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</si>
  <si>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</si>
  <si>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</si>
  <si>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</si>
  <si>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</si>
  <si>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</si>
  <si>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</si>
  <si>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</si>
  <si>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</si>
  <si>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</si>
  <si>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</si>
  <si>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</si>
  <si>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</si>
  <si>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</si>
  <si>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</si>
  <si>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</si>
  <si>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</si>
  <si>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</si>
  <si>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</si>
  <si>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</si>
  <si>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</si>
  <si>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</si>
  <si>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</si>
  <si>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</si>
  <si>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</si>
  <si>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</si>
  <si>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</si>
  <si>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</si>
  <si>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</si>
  <si>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</si>
  <si>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</si>
  <si>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</si>
  <si>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</si>
  <si>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</si>
  <si>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</si>
  <si>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</si>
  <si>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</si>
  <si>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</si>
  <si>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</si>
  <si>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</si>
  <si>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</si>
  <si>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</si>
  <si>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</si>
  <si>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</si>
  <si>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</si>
  <si>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</si>
  <si>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</si>
  <si>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</si>
  <si>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</si>
  <si>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</si>
  <si>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</si>
  <si>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</si>
  <si>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</si>
  <si>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</si>
  <si>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</si>
  <si>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</si>
  <si>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</si>
  <si>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</si>
  <si>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</si>
  <si>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</si>
  <si>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</si>
  <si>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</si>
  <si>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</si>
  <si>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</si>
  <si>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</si>
  <si>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</si>
  <si>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</si>
  <si>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</si>
  <si>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</si>
  <si>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</si>
  <si>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</si>
  <si>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</si>
  <si>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</si>
  <si>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</si>
  <si>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</si>
  <si>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</si>
  <si>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</si>
  <si>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</si>
  <si>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</si>
  <si>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</si>
  <si>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</si>
  <si>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</si>
  <si>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</si>
  <si>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</si>
  <si>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</si>
  <si>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</si>
  <si>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</si>
  <si>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</si>
  <si>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</si>
  <si>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</si>
  <si>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</si>
  <si>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</si>
  <si>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</si>
  <si>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</si>
  <si>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</si>
  <si>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</si>
  <si>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</si>
  <si>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</si>
  <si>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</si>
  <si>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</si>
  <si>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</si>
  <si>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</si>
  <si>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</si>
  <si>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</si>
  <si>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</si>
  <si>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</si>
  <si>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</si>
  <si>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</si>
  <si>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</si>
  <si>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</si>
  <si>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</si>
  <si>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</si>
  <si>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</si>
  <si>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</si>
  <si>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</si>
  <si>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</si>
  <si>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</si>
  <si>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</si>
  <si>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</si>
  <si>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</si>
  <si>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</si>
  <si>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</si>
  <si>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</si>
  <si>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</si>
  <si>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</si>
  <si>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</si>
  <si>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</si>
  <si>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</si>
  <si>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</si>
  <si>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</si>
  <si>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</si>
  <si>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</si>
  <si>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</si>
  <si>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</si>
  <si>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</si>
  <si>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</si>
  <si>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</si>
  <si>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</si>
  <si>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</si>
  <si>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</si>
  <si>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</si>
  <si>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</si>
  <si>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</si>
  <si>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</si>
  <si>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</si>
  <si>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</si>
  <si>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</si>
  <si>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</si>
  <si>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</si>
  <si>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</si>
  <si>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</si>
  <si>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</si>
  <si>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</si>
  <si>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</si>
  <si>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</si>
  <si>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</si>
  <si>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</si>
  <si>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</si>
  <si>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</si>
  <si>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</si>
  <si>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</si>
  <si>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</si>
  <si>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</si>
  <si>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</si>
  <si>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</si>
  <si>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</si>
  <si>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</si>
  <si>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</si>
  <si>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</si>
  <si>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</si>
  <si>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</si>
  <si>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</si>
  <si>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</si>
  <si>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</si>
  <si>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</si>
  <si>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</si>
  <si>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</si>
  <si>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</si>
  <si>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</si>
  <si>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</si>
  <si>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</si>
  <si>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</si>
  <si>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</si>
  <si>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</si>
  <si>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</si>
  <si>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</si>
  <si>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</si>
  <si>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</si>
  <si>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</si>
  <si>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</si>
  <si>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</si>
  <si>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</si>
  <si>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</si>
  <si>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</si>
  <si>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</si>
  <si>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</si>
  <si>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</si>
  <si>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</si>
  <si>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</si>
  <si>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</si>
  <si>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</si>
  <si>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</si>
  <si>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</si>
  <si>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</si>
  <si>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</si>
  <si>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</si>
  <si>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</si>
  <si>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</si>
  <si>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</si>
  <si>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</si>
  <si>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</si>
  <si>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</si>
  <si>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</si>
  <si>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</si>
  <si>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</si>
  <si>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</si>
  <si>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</si>
  <si>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</si>
  <si>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</si>
  <si>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</si>
  <si>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</si>
  <si>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</si>
  <si>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</si>
  <si>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</si>
  <si>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</si>
  <si>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</si>
  <si>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</si>
  <si>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</si>
  <si>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</si>
  <si>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</si>
  <si>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</si>
  <si>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</si>
  <si>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</si>
  <si>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</si>
  <si>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</si>
  <si>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</si>
  <si>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</si>
  <si>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</si>
  <si>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</si>
  <si>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</si>
  <si>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</si>
  <si>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</si>
  <si>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</si>
  <si>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</si>
  <si>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</si>
  <si>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</si>
  <si>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</si>
  <si>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</si>
  <si>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</si>
  <si>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</si>
  <si>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</si>
  <si>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</si>
  <si>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</si>
  <si>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</si>
  <si>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</si>
  <si>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</si>
  <si>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</si>
  <si>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</si>
  <si>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</si>
  <si>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</si>
  <si>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</si>
  <si>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</si>
  <si>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</si>
  <si>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</si>
  <si>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</si>
  <si>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</si>
  <si>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</si>
  <si>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</si>
  <si>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</si>
  <si>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</si>
  <si>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</si>
  <si>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</si>
  <si>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</si>
  <si>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</si>
  <si>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</si>
  <si>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</si>
  <si>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</si>
  <si>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</si>
  <si>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</si>
  <si>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</si>
  <si>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</si>
  <si>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</si>
  <si>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</si>
  <si>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</si>
  <si>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</si>
  <si>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</si>
  <si>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</si>
  <si>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</si>
  <si>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</si>
  <si>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</si>
  <si>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</si>
  <si>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</si>
  <si>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</si>
  <si>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</si>
  <si>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</si>
  <si>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</si>
  <si>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</si>
  <si>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</si>
  <si>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</si>
  <si>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</si>
  <si>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</si>
  <si>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</si>
  <si>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</si>
  <si>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</si>
  <si>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</si>
  <si>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</si>
  <si>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</si>
  <si>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</si>
  <si>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</si>
  <si>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</si>
  <si>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</si>
  <si>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</si>
  <si>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</si>
  <si>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</si>
  <si>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</si>
  <si>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</si>
  <si>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</si>
  <si>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</si>
  <si>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</si>
  <si>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</si>
  <si>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</si>
  <si>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</si>
  <si>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</si>
  <si>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</si>
  <si>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</si>
  <si>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</si>
  <si>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</si>
  <si>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</si>
  <si>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</si>
  <si>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</si>
  <si>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</si>
  <si>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</si>
  <si>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</si>
  <si>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</si>
  <si>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</si>
  <si>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</si>
  <si>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</si>
  <si>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</si>
  <si>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</si>
  <si>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</si>
  <si>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</si>
  <si>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</si>
  <si>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</si>
  <si>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</si>
  <si>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</si>
  <si>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</si>
  <si>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</si>
  <si>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</si>
  <si>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</si>
  <si>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</si>
  <si>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</si>
  <si>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</si>
  <si>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</si>
  <si>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</si>
  <si>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</si>
  <si>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</si>
  <si>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</si>
  <si>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</si>
  <si>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</si>
  <si>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</si>
  <si>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</si>
  <si>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</si>
  <si>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</si>
  <si>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</si>
  <si>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</si>
  <si>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</si>
  <si>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</si>
  <si>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</si>
  <si>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</si>
  <si>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</si>
  <si>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</si>
  <si>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</si>
  <si>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</si>
  <si>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</si>
  <si>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</si>
  <si>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</si>
  <si>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</si>
  <si>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</si>
  <si>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</si>
  <si>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</si>
  <si>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</si>
  <si>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</si>
  <si>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</si>
  <si>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</si>
  <si>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</si>
  <si>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</si>
  <si>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</si>
  <si>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</si>
  <si>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</si>
  <si>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</si>
  <si>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</si>
  <si>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</si>
  <si>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</si>
  <si>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</si>
  <si>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</si>
  <si>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</si>
  <si>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</si>
  <si>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</si>
  <si>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</si>
  <si>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</si>
  <si>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</si>
  <si>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</si>
  <si>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</si>
  <si>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</si>
  <si>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</si>
  <si>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</si>
  <si>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</si>
  <si>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</si>
  <si>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</si>
  <si>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</si>
  <si>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</si>
  <si>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</si>
  <si>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</si>
  <si>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</si>
  <si>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</si>
  <si>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</si>
  <si>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</si>
  <si>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</si>
  <si>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</si>
  <si>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</si>
  <si>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</si>
  <si>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</si>
  <si>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</si>
  <si>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</si>
  <si>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</si>
  <si>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</si>
  <si>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</si>
  <si>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</si>
  <si>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</si>
  <si>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</si>
  <si>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</si>
  <si>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</si>
  <si>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</si>
  <si>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</si>
  <si>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</si>
  <si>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</si>
  <si>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</si>
  <si>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</si>
  <si>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</si>
  <si>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</si>
  <si>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</si>
  <si>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</si>
  <si>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</si>
  <si>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</si>
  <si>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</si>
  <si>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</si>
  <si>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</si>
  <si>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</si>
  <si>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</si>
  <si>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</si>
  <si>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</si>
  <si>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</si>
  <si>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</si>
  <si>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</si>
  <si>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</si>
  <si>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</si>
  <si>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</si>
  <si>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</si>
  <si>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</si>
  <si>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</si>
  <si>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</si>
  <si>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</si>
  <si>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</si>
  <si>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</si>
  <si>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</si>
  <si>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</si>
  <si>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</si>
  <si>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</si>
  <si>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</si>
  <si>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</si>
  <si>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</si>
  <si>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</si>
  <si>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</si>
  <si>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</si>
  <si>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</si>
  <si>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</si>
  <si>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</si>
  <si>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</si>
  <si>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</si>
  <si>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</si>
  <si>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</si>
  <si>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</si>
  <si>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</si>
  <si>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</si>
  <si>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</si>
  <si>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</si>
  <si>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</si>
  <si>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</si>
  <si>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</si>
  <si>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</si>
  <si>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</si>
  <si>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</si>
  <si>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</si>
  <si>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</si>
  <si>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</si>
  <si>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</si>
  <si>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</si>
  <si>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</si>
  <si>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</si>
  <si>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</si>
  <si>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</si>
  <si>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</si>
  <si>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</si>
  <si>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</si>
  <si>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</si>
  <si>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</si>
  <si>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</si>
  <si>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</si>
  <si>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</si>
  <si>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</si>
  <si>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</si>
  <si>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</si>
  <si>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</si>
  <si>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</si>
  <si>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</si>
  <si>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</si>
  <si>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</si>
  <si>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</si>
  <si>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</si>
  <si>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</si>
  <si>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</si>
  <si>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</si>
  <si>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</si>
  <si>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</si>
  <si>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</si>
  <si>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</si>
  <si>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</si>
  <si>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</si>
  <si>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</si>
  <si>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</si>
  <si>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</si>
  <si>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</si>
  <si>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</si>
  <si>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</si>
  <si>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</si>
  <si>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</si>
  <si>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</si>
  <si>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</si>
  <si>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</si>
  <si>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</si>
  <si>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</si>
  <si>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</si>
  <si>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</si>
  <si>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</si>
  <si>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</si>
  <si>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</si>
  <si>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</si>
  <si>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</si>
  <si>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</si>
  <si>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</si>
  <si>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</si>
  <si>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</si>
  <si>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</si>
  <si>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</si>
  <si>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</si>
  <si>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</si>
  <si>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</si>
  <si>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</si>
  <si>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</si>
  <si>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</si>
  <si>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</si>
  <si>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</si>
  <si>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</si>
  <si>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</si>
  <si>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</si>
  <si>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</si>
  <si>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</si>
  <si>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</si>
  <si>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</si>
  <si>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</si>
  <si>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</si>
  <si>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</si>
  <si>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</si>
  <si>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</si>
  <si>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</si>
  <si>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</si>
  <si>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</si>
  <si>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</si>
  <si>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</si>
  <si>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</si>
  <si>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</si>
  <si>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</si>
  <si>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</si>
  <si>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</si>
  <si>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</si>
  <si>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</si>
  <si>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</si>
  <si>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</si>
  <si>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</si>
  <si>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</si>
  <si>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</si>
  <si>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</si>
  <si>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</si>
  <si>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</si>
  <si>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</si>
  <si>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</si>
  <si>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</si>
  <si>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</si>
  <si>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</si>
  <si>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</si>
  <si>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</si>
  <si>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</si>
  <si>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</si>
  <si>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</si>
  <si>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</si>
  <si>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</si>
  <si>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</si>
  <si>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</si>
  <si>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</si>
  <si>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</si>
  <si>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</si>
  <si>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</si>
  <si>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</si>
  <si>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</si>
  <si>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</si>
  <si>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</si>
  <si>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</si>
  <si>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</si>
  <si>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</si>
  <si>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</si>
  <si>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</si>
  <si>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</si>
  <si>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</si>
  <si>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</si>
  <si>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</si>
  <si>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</si>
  <si>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</si>
  <si>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</si>
  <si>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</si>
  <si>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</si>
  <si>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</si>
  <si>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</si>
  <si>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</si>
  <si>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</si>
  <si>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</si>
  <si>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</si>
  <si>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</si>
  <si>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</si>
  <si>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</si>
  <si>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</si>
  <si>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</si>
  <si>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</si>
  <si>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</si>
  <si>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</si>
  <si>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</si>
  <si>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</si>
  <si>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</si>
  <si>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</si>
  <si>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</si>
  <si>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</si>
  <si>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</si>
  <si>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</si>
  <si>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</si>
  <si>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</si>
  <si>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</si>
  <si>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</si>
  <si>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</si>
  <si>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</si>
  <si>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</si>
  <si>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</si>
  <si>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</si>
  <si>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</si>
  <si>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</si>
  <si>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</si>
  <si>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</si>
  <si>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</si>
  <si>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</si>
  <si>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</si>
  <si>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</si>
  <si>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</si>
  <si>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</si>
  <si>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</si>
  <si>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</si>
  <si>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</si>
  <si>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</si>
  <si>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</si>
  <si>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</si>
  <si>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</si>
  <si>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</si>
  <si>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</si>
  <si>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</si>
  <si>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</si>
  <si>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</si>
  <si>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</si>
  <si>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</si>
  <si>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</si>
  <si>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</si>
  <si>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</si>
  <si>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</si>
  <si>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</si>
  <si>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</si>
  <si>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</si>
  <si>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</si>
  <si>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</si>
  <si>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</si>
  <si>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</si>
  <si>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</si>
  <si>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</si>
  <si>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</si>
  <si>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</si>
  <si>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</si>
  <si>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</si>
  <si>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</si>
  <si>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</si>
  <si>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</si>
  <si>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</si>
  <si>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</si>
  <si>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</si>
  <si>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</si>
  <si>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</si>
  <si>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</si>
  <si>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</si>
  <si>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</si>
  <si>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</si>
  <si>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</si>
  <si>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</si>
  <si>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</si>
  <si>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Count of TX ID</t>
  </si>
  <si>
    <t>Sum of Quantity</t>
  </si>
  <si>
    <t>Sum of Amount</t>
  </si>
  <si>
    <t>Average of Rating C</t>
  </si>
  <si>
    <t>Average of Days to Deliver</t>
  </si>
  <si>
    <t>Values for Display</t>
  </si>
  <si>
    <t>Qty</t>
  </si>
  <si>
    <t>Avg. Days</t>
  </si>
  <si>
    <t>Unknown</t>
  </si>
  <si>
    <t>Male</t>
  </si>
  <si>
    <t>Female</t>
  </si>
  <si>
    <t>Other</t>
  </si>
  <si>
    <t>Row Labels</t>
  </si>
  <si>
    <t>Grand Total</t>
  </si>
  <si>
    <t>Column Labels</t>
  </si>
  <si>
    <t>6 to 10</t>
  </si>
  <si>
    <t>More than 10</t>
  </si>
  <si>
    <t>Jan</t>
  </si>
  <si>
    <t>Feb</t>
  </si>
  <si>
    <t>Mar</t>
  </si>
  <si>
    <t>pvtSummary</t>
  </si>
  <si>
    <t>like to buy</t>
  </si>
  <si>
    <t>Unkwn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</si>
</sst>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4"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8">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s>
  <borders count="10">
    <border>
      <left/>
      <right/>
      <top/>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s>
  <cellStyleXfs count="2">
    <xf numFmtId="0" fontId="0" fillId="0" borderId="0"/>
    <xf numFmtId="0" fontId="3" fillId="0" borderId="0" applyNumberFormat="0" applyFill="0" applyBorder="0" applyAlignment="0" applyProtection="0"/>
  </cellStyleXfs>
  <cellXfs count="26">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165" fontId="0" fillId="0" borderId="5" xfId="0" applyNumberFormat="1" applyBorder="1" applyAlignment="1">
      <alignment horizontal="center" vertical="center"/>
    </xf>
    <xf numFmtId="165" fontId="0" fillId="0" borderId="6" xfId="0" applyNumberFormat="1" applyBorder="1" applyAlignment="1">
      <alignment horizontal="center" vertical="center"/>
    </xf>
    <xf numFmtId="165" fontId="0" fillId="0" borderId="8" xfId="0" applyNumberFormat="1" applyBorder="1" applyAlignment="1">
      <alignment horizontal="center" vertical="center"/>
    </xf>
    <xf numFmtId="165" fontId="0" fillId="0" borderId="9" xfId="0" applyNumberFormat="1" applyBorder="1" applyAlignment="1">
      <alignment horizontal="center" vertical="center"/>
    </xf>
    <xf numFmtId="0" fontId="0" fillId="0" borderId="4" xfId="0" applyBorder="1" applyAlignment="1">
      <alignment horizontal="left" vertical="center"/>
    </xf>
    <xf numFmtId="0" fontId="0" fillId="0" borderId="7" xfId="0" applyBorder="1" applyAlignment="1">
      <alignment horizontal="left" vertical="center"/>
    </xf>
    <xf numFmtId="0" fontId="0" fillId="0" borderId="0" xfId="0" applyNumberFormat="1"/>
  </cellXfs>
  <cellStyles count="2">
    <cellStyle name="Hyperlink" xfId="1" builtinId="8"/>
    <cellStyle name="Normal" xfId="0" builtinId="0"/>
  </cellStyles>
  <dxfs count="5">
    <dxf>
      <numFmt numFmtId="0" formatCode="General"/>
    </dxf>
    <dxf>
      <numFmt numFmtId="0" formatCode="General"/>
    </dxf>
    <dxf>
      <numFmt numFmtId="0" formatCode="General"/>
    </dxf>
    <dxf>
      <numFmt numFmtId="20" formatCode="d\-mmm\-yy"/>
    </dxf>
    <dxf>
      <numFmt numFmtId="20" formatCode="d\-mmm\-yy"/>
    </dxf>
  </dxfs>
  <tableStyles count="0" defaultTableStyle="TableStyleMedium2" defaultPivotStyle="PivotStyleLight16"/>
  <colors>
    <mruColors>
      <color rgb="FF8494FF"/>
      <color rgb="FF6367FF"/>
      <color rgb="FFC9BEFF"/>
      <color rgb="FF44ACFF"/>
      <color rgb="FFFE9EC7"/>
      <color rgb="FFFFDBFD"/>
      <color rgb="FF89D4FF"/>
      <color rgb="FFF9F6C4"/>
      <color rgb="FF009A46"/>
      <color rgb="FFCC9B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 Copy.xlsx]Pivots!Trend13weeks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Last 13 weeks Trends- Qty &amp;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C000"/>
            </a:solidFill>
            <a:round/>
          </a:ln>
          <a:effectLst/>
        </c:spPr>
        <c:marker>
          <c:symbol val="circle"/>
          <c:size val="2"/>
          <c:spPr>
            <a:noFill/>
            <a:ln w="66675" cap="rnd">
              <a:solidFill>
                <a:srgbClr val="FFC000">
                  <a:alpha val="99000"/>
                </a:srgb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Pivots!$B$8</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Pivots!$B$9:$B$22</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1B97-44B6-A0AA-C79E396E1152}"/>
            </c:ext>
          </c:extLst>
        </c:ser>
        <c:dLbls>
          <c:showLegendKey val="0"/>
          <c:showVal val="0"/>
          <c:showCatName val="0"/>
          <c:showSerName val="0"/>
          <c:showPercent val="0"/>
          <c:showBubbleSize val="0"/>
        </c:dLbls>
        <c:marker val="1"/>
        <c:smooth val="0"/>
        <c:axId val="904107279"/>
        <c:axId val="599193567"/>
      </c:lineChart>
      <c:lineChart>
        <c:grouping val="standard"/>
        <c:varyColors val="0"/>
        <c:ser>
          <c:idx val="1"/>
          <c:order val="1"/>
          <c:tx>
            <c:strRef>
              <c:f>Pivots!$C$8</c:f>
              <c:strCache>
                <c:ptCount val="1"/>
                <c:pt idx="0">
                  <c:v>Sum of Amount</c:v>
                </c:pt>
              </c:strCache>
            </c:strRef>
          </c:tx>
          <c:spPr>
            <a:ln w="28575" cap="rnd">
              <a:solidFill>
                <a:srgbClr val="FFC000"/>
              </a:solidFill>
              <a:round/>
            </a:ln>
            <a:effectLst/>
          </c:spPr>
          <c:marker>
            <c:symbol val="circle"/>
            <c:size val="2"/>
            <c:spPr>
              <a:noFill/>
              <a:ln w="66675" cap="rnd">
                <a:solidFill>
                  <a:srgbClr val="FFC000">
                    <a:alpha val="99000"/>
                  </a:srgbClr>
                </a:solidFill>
              </a:ln>
              <a:effectLst/>
            </c:spPr>
          </c:marker>
          <c:cat>
            <c:strRef>
              <c:f>Pivots!$A$9:$A$22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Pivots!$C$9:$C$22</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1B97-44B6-A0AA-C79E396E1152}"/>
            </c:ext>
          </c:extLst>
        </c:ser>
        <c:dLbls>
          <c:showLegendKey val="0"/>
          <c:showVal val="0"/>
          <c:showCatName val="0"/>
          <c:showSerName val="0"/>
          <c:showPercent val="0"/>
          <c:showBubbleSize val="0"/>
        </c:dLbls>
        <c:marker val="1"/>
        <c:smooth val="0"/>
        <c:axId val="904836591"/>
        <c:axId val="904837551"/>
      </c:lineChart>
      <c:catAx>
        <c:axId val="90410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193567"/>
        <c:crosses val="autoZero"/>
        <c:auto val="1"/>
        <c:lblAlgn val="ctr"/>
        <c:lblOffset val="100"/>
        <c:noMultiLvlLbl val="0"/>
      </c:catAx>
      <c:valAx>
        <c:axId val="599193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107279"/>
        <c:crosses val="autoZero"/>
        <c:crossBetween val="between"/>
      </c:valAx>
      <c:valAx>
        <c:axId val="904837551"/>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836591"/>
        <c:crosses val="max"/>
        <c:crossBetween val="between"/>
      </c:valAx>
      <c:catAx>
        <c:axId val="904836591"/>
        <c:scaling>
          <c:orientation val="minMax"/>
        </c:scaling>
        <c:delete val="1"/>
        <c:axPos val="b"/>
        <c:numFmt formatCode="General" sourceLinked="1"/>
        <c:majorTickMark val="out"/>
        <c:minorTickMark val="none"/>
        <c:tickLblPos val="nextTo"/>
        <c:crossAx val="90483755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 Copy.xlsx]Sheet2!howmanybuy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a:t>
            </a:r>
            <a:r>
              <a:rPr lang="en-US" b="1" baseline="0"/>
              <a:t> many they buy?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Sheet2!$C$16</c:f>
              <c:strCache>
                <c:ptCount val="1"/>
                <c:pt idx="0">
                  <c:v>Total</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Sheet2!$B$17:$B$24</c:f>
              <c:strCache>
                <c:ptCount val="7"/>
                <c:pt idx="0">
                  <c:v>1</c:v>
                </c:pt>
                <c:pt idx="1">
                  <c:v>2</c:v>
                </c:pt>
                <c:pt idx="2">
                  <c:v>3</c:v>
                </c:pt>
                <c:pt idx="3">
                  <c:v>4</c:v>
                </c:pt>
                <c:pt idx="4">
                  <c:v>5</c:v>
                </c:pt>
                <c:pt idx="5">
                  <c:v>6 to 10</c:v>
                </c:pt>
                <c:pt idx="6">
                  <c:v>More than 10</c:v>
                </c:pt>
              </c:strCache>
            </c:strRef>
          </c:cat>
          <c:val>
            <c:numRef>
              <c:f>Sheet2!$C$17:$C$24</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9220-4D23-A82D-305A77312740}"/>
            </c:ext>
          </c:extLst>
        </c:ser>
        <c:dLbls>
          <c:dLblPos val="outEnd"/>
          <c:showLegendKey val="0"/>
          <c:showVal val="1"/>
          <c:showCatName val="0"/>
          <c:showSerName val="0"/>
          <c:showPercent val="0"/>
          <c:showBubbleSize val="0"/>
        </c:dLbls>
        <c:gapWidth val="3"/>
        <c:overlap val="-27"/>
        <c:axId val="761225247"/>
        <c:axId val="761227647"/>
      </c:barChart>
      <c:catAx>
        <c:axId val="76122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227647"/>
        <c:crosses val="autoZero"/>
        <c:auto val="1"/>
        <c:lblAlgn val="ctr"/>
        <c:lblOffset val="100"/>
        <c:noMultiLvlLbl val="0"/>
      </c:catAx>
      <c:valAx>
        <c:axId val="761227647"/>
        <c:scaling>
          <c:orientation val="minMax"/>
        </c:scaling>
        <c:delete val="1"/>
        <c:axPos val="l"/>
        <c:numFmt formatCode="General" sourceLinked="1"/>
        <c:majorTickMark val="none"/>
        <c:minorTickMark val="none"/>
        <c:tickLblPos val="nextTo"/>
        <c:crossAx val="76122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 Copy.xlsx]Sheet2!popular product</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44A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E9EC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9F6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89D4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Sheet2!$K$13:$K$14</c:f>
              <c:strCache>
                <c:ptCount val="1"/>
                <c:pt idx="0">
                  <c:v>Female</c:v>
                </c:pt>
              </c:strCache>
            </c:strRef>
          </c:tx>
          <c:spPr>
            <a:solidFill>
              <a:srgbClr val="44ACFF"/>
            </a:solidFill>
            <a:ln>
              <a:noFill/>
            </a:ln>
            <a:effectLst/>
          </c:spPr>
          <c:invertIfNegative val="0"/>
          <c:cat>
            <c:strRef>
              <c:f>Sheet2!$J$15:$J$35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Sheet2!$K$15:$K$35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B72E-4811-AC16-D3376FA0FD91}"/>
            </c:ext>
          </c:extLst>
        </c:ser>
        <c:ser>
          <c:idx val="1"/>
          <c:order val="1"/>
          <c:tx>
            <c:strRef>
              <c:f>Sheet2!$L$13:$L$14</c:f>
              <c:strCache>
                <c:ptCount val="1"/>
                <c:pt idx="0">
                  <c:v>Male</c:v>
                </c:pt>
              </c:strCache>
            </c:strRef>
          </c:tx>
          <c:spPr>
            <a:solidFill>
              <a:srgbClr val="FE9EC7"/>
            </a:solidFill>
            <a:ln>
              <a:noFill/>
            </a:ln>
            <a:effectLst/>
          </c:spPr>
          <c:invertIfNegative val="0"/>
          <c:cat>
            <c:strRef>
              <c:f>Sheet2!$J$15:$J$35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Sheet2!$L$15:$L$35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B72E-4811-AC16-D3376FA0FD91}"/>
            </c:ext>
          </c:extLst>
        </c:ser>
        <c:ser>
          <c:idx val="2"/>
          <c:order val="2"/>
          <c:tx>
            <c:strRef>
              <c:f>Sheet2!$M$13:$M$14</c:f>
              <c:strCache>
                <c:ptCount val="1"/>
                <c:pt idx="0">
                  <c:v>Other</c:v>
                </c:pt>
              </c:strCache>
            </c:strRef>
          </c:tx>
          <c:spPr>
            <a:solidFill>
              <a:srgbClr val="F9F6C4"/>
            </a:solidFill>
            <a:ln>
              <a:noFill/>
            </a:ln>
            <a:effectLst/>
          </c:spPr>
          <c:invertIfNegative val="0"/>
          <c:cat>
            <c:strRef>
              <c:f>Sheet2!$J$15:$J$35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Sheet2!$M$15:$M$35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B72E-4811-AC16-D3376FA0FD91}"/>
            </c:ext>
          </c:extLst>
        </c:ser>
        <c:ser>
          <c:idx val="3"/>
          <c:order val="3"/>
          <c:tx>
            <c:strRef>
              <c:f>Sheet2!$N$13:$N$14</c:f>
              <c:strCache>
                <c:ptCount val="1"/>
                <c:pt idx="0">
                  <c:v>Unknown</c:v>
                </c:pt>
              </c:strCache>
            </c:strRef>
          </c:tx>
          <c:spPr>
            <a:solidFill>
              <a:srgbClr val="89D4FF"/>
            </a:solidFill>
            <a:ln>
              <a:noFill/>
            </a:ln>
            <a:effectLst/>
          </c:spPr>
          <c:invertIfNegative val="0"/>
          <c:cat>
            <c:strRef>
              <c:f>Sheet2!$J$15:$J$35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Sheet2!$N$15:$N$35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B72E-4811-AC16-D3376FA0FD91}"/>
            </c:ext>
          </c:extLst>
        </c:ser>
        <c:dLbls>
          <c:showLegendKey val="0"/>
          <c:showVal val="0"/>
          <c:showCatName val="0"/>
          <c:showSerName val="0"/>
          <c:showPercent val="0"/>
          <c:showBubbleSize val="0"/>
        </c:dLbls>
        <c:gapWidth val="9"/>
        <c:overlap val="100"/>
        <c:axId val="1029633023"/>
        <c:axId val="1029633983"/>
      </c:barChart>
      <c:catAx>
        <c:axId val="1029633023"/>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633983"/>
        <c:crosses val="autoZero"/>
        <c:auto val="1"/>
        <c:lblAlgn val="ctr"/>
        <c:lblOffset val="100"/>
        <c:noMultiLvlLbl val="0"/>
      </c:catAx>
      <c:valAx>
        <c:axId val="1029633983"/>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Whic</a:t>
                </a:r>
                <a:r>
                  <a:rPr lang="en-US" b="1" baseline="0"/>
                  <a:t>h Product are popular? </a:t>
                </a:r>
                <a:r>
                  <a:rPr lang="en-US" baseline="0"/>
                  <a:t>Breakdown by Gender</a:t>
                </a:r>
                <a:endParaRPr lang="en-US"/>
              </a:p>
            </c:rich>
          </c:tx>
          <c:layout>
            <c:manualLayout>
              <c:xMode val="edge"/>
              <c:yMode val="edge"/>
              <c:x val="4.7874768042529707E-2"/>
              <c:y val="1.6307516095646794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63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 Copy.xlsx]Sheet2!genderbuy</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rgbClr val="6367FF"/>
          </a:solidFill>
          <a:ln w="19050">
            <a:solidFill>
              <a:schemeClr val="lt1"/>
            </a:solidFill>
          </a:ln>
          <a:effectLst/>
        </c:spPr>
        <c:dLbl>
          <c:idx val="0"/>
          <c:layout>
            <c:manualLayout>
              <c:x val="0.16462262884753032"/>
              <c:y val="0.318141047586443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4822605889860094"/>
                  <c:h val="0.30341805375593872"/>
                </c:manualLayout>
              </c15:layout>
            </c:ext>
          </c:extLst>
        </c:dLbl>
      </c:pivotFmt>
      <c:pivotFmt>
        <c:idx val="8"/>
        <c:spPr>
          <a:solidFill>
            <a:srgbClr val="44ACFF"/>
          </a:solidFill>
          <a:ln w="19050">
            <a:solidFill>
              <a:schemeClr val="lt1"/>
            </a:solidFill>
          </a:ln>
          <a:effectLst/>
        </c:spPr>
        <c:dLbl>
          <c:idx val="0"/>
          <c:layout>
            <c:manualLayout>
              <c:x val="-0.2058823529411765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92D050"/>
          </a:solidFill>
          <a:ln w="19050">
            <a:solidFill>
              <a:schemeClr val="lt1"/>
            </a:solidFill>
          </a:ln>
          <a:effectLst/>
        </c:spPr>
        <c:dLbl>
          <c:idx val="0"/>
          <c:layout>
            <c:manualLayout>
              <c:x val="-0.23632834886464882"/>
              <c:y val="-0.2069842851921990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8219942690649907"/>
                  <c:h val="0.25496528123857937"/>
                </c:manualLayout>
              </c15:layout>
            </c:ext>
          </c:extLst>
        </c:dLbl>
      </c:pivotFmt>
      <c:pivotFmt>
        <c:idx val="10"/>
        <c:spPr>
          <a:solidFill>
            <a:srgbClr val="FE9EC7"/>
          </a:solidFill>
          <a:ln w="19050">
            <a:solidFill>
              <a:schemeClr val="lt1"/>
            </a:solidFill>
          </a:ln>
          <a:effectLst/>
        </c:spPr>
        <c:dLbl>
          <c:idx val="0"/>
          <c:layout>
            <c:manualLayout>
              <c:x val="0.34363194819212095"/>
              <c:y val="-0.2134730103302779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0752293577981649"/>
                  <c:h val="0.28641350210970462"/>
                </c:manualLayout>
              </c15:layout>
            </c:ext>
          </c:extLst>
        </c:dLbl>
      </c:pivotFmt>
    </c:pivotFmts>
    <c:plotArea>
      <c:layout/>
      <c:doughnutChart>
        <c:varyColors val="1"/>
        <c:ser>
          <c:idx val="0"/>
          <c:order val="0"/>
          <c:tx>
            <c:strRef>
              <c:f>Sheet2!$T$10</c:f>
              <c:strCache>
                <c:ptCount val="1"/>
                <c:pt idx="0">
                  <c:v>Total</c:v>
                </c:pt>
              </c:strCache>
            </c:strRef>
          </c:tx>
          <c:dPt>
            <c:idx val="0"/>
            <c:bubble3D val="0"/>
            <c:spPr>
              <a:solidFill>
                <a:srgbClr val="6367FF"/>
              </a:solidFill>
              <a:ln w="19050">
                <a:solidFill>
                  <a:schemeClr val="lt1"/>
                </a:solidFill>
              </a:ln>
              <a:effectLst/>
            </c:spPr>
            <c:extLst>
              <c:ext xmlns:c16="http://schemas.microsoft.com/office/drawing/2014/chart" uri="{C3380CC4-5D6E-409C-BE32-E72D297353CC}">
                <c16:uniqueId val="{00000001-FC66-4D35-891A-17D56B636928}"/>
              </c:ext>
            </c:extLst>
          </c:dPt>
          <c:dPt>
            <c:idx val="1"/>
            <c:bubble3D val="0"/>
            <c:spPr>
              <a:solidFill>
                <a:srgbClr val="44ACFF"/>
              </a:solidFill>
              <a:ln w="19050">
                <a:solidFill>
                  <a:schemeClr val="lt1"/>
                </a:solidFill>
              </a:ln>
              <a:effectLst/>
            </c:spPr>
            <c:extLst>
              <c:ext xmlns:c16="http://schemas.microsoft.com/office/drawing/2014/chart" uri="{C3380CC4-5D6E-409C-BE32-E72D297353CC}">
                <c16:uniqueId val="{00000003-FC66-4D35-891A-17D56B636928}"/>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FC66-4D35-891A-17D56B636928}"/>
              </c:ext>
            </c:extLst>
          </c:dPt>
          <c:dPt>
            <c:idx val="3"/>
            <c:bubble3D val="0"/>
            <c:spPr>
              <a:solidFill>
                <a:srgbClr val="FE9EC7"/>
              </a:solidFill>
              <a:ln w="19050">
                <a:solidFill>
                  <a:schemeClr val="lt1"/>
                </a:solidFill>
              </a:ln>
              <a:effectLst/>
            </c:spPr>
            <c:extLst>
              <c:ext xmlns:c16="http://schemas.microsoft.com/office/drawing/2014/chart" uri="{C3380CC4-5D6E-409C-BE32-E72D297353CC}">
                <c16:uniqueId val="{00000007-FC66-4D35-891A-17D56B636928}"/>
              </c:ext>
            </c:extLst>
          </c:dPt>
          <c:dLbls>
            <c:dLbl>
              <c:idx val="0"/>
              <c:layout>
                <c:manualLayout>
                  <c:x val="0.16462262884753032"/>
                  <c:y val="0.31814104758644302"/>
                </c:manualLayout>
              </c:layout>
              <c:showLegendKey val="0"/>
              <c:showVal val="1"/>
              <c:showCatName val="1"/>
              <c:showSerName val="0"/>
              <c:showPercent val="1"/>
              <c:showBubbleSize val="0"/>
              <c:extLst>
                <c:ext xmlns:c15="http://schemas.microsoft.com/office/drawing/2012/chart" uri="{CE6537A1-D6FC-4f65-9D91-7224C49458BB}">
                  <c15:layout>
                    <c:manualLayout>
                      <c:w val="0.24822605889860094"/>
                      <c:h val="0.30341805375593872"/>
                    </c:manualLayout>
                  </c15:layout>
                </c:ext>
                <c:ext xmlns:c16="http://schemas.microsoft.com/office/drawing/2014/chart" uri="{C3380CC4-5D6E-409C-BE32-E72D297353CC}">
                  <c16:uniqueId val="{00000001-FC66-4D35-891A-17D56B636928}"/>
                </c:ext>
              </c:extLst>
            </c:dLbl>
            <c:dLbl>
              <c:idx val="1"/>
              <c:layout>
                <c:manualLayout>
                  <c:x val="-0.2058823529411765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C66-4D35-891A-17D56B636928}"/>
                </c:ext>
              </c:extLst>
            </c:dLbl>
            <c:dLbl>
              <c:idx val="2"/>
              <c:layout>
                <c:manualLayout>
                  <c:x val="-0.23632834886464882"/>
                  <c:y val="-0.2069842851921990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8219942690649907"/>
                      <c:h val="0.25496528123857937"/>
                    </c:manualLayout>
                  </c15:layout>
                </c:ext>
                <c:ext xmlns:c16="http://schemas.microsoft.com/office/drawing/2014/chart" uri="{C3380CC4-5D6E-409C-BE32-E72D297353CC}">
                  <c16:uniqueId val="{00000005-FC66-4D35-891A-17D56B636928}"/>
                </c:ext>
              </c:extLst>
            </c:dLbl>
            <c:dLbl>
              <c:idx val="3"/>
              <c:layout>
                <c:manualLayout>
                  <c:x val="0.34363194819212095"/>
                  <c:y val="-0.2134730103302779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0752293577981649"/>
                      <c:h val="0.28641350210970462"/>
                    </c:manualLayout>
                  </c15:layout>
                </c:ext>
                <c:ext xmlns:c16="http://schemas.microsoft.com/office/drawing/2014/chart" uri="{C3380CC4-5D6E-409C-BE32-E72D297353CC}">
                  <c16:uniqueId val="{00000007-FC66-4D35-891A-17D56B63692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Sheet2!$S$11:$S$15</c:f>
              <c:strCache>
                <c:ptCount val="4"/>
                <c:pt idx="0">
                  <c:v>Female</c:v>
                </c:pt>
                <c:pt idx="1">
                  <c:v>Male</c:v>
                </c:pt>
                <c:pt idx="2">
                  <c:v>Other</c:v>
                </c:pt>
                <c:pt idx="3">
                  <c:v>Unknown</c:v>
                </c:pt>
              </c:strCache>
            </c:strRef>
          </c:cat>
          <c:val>
            <c:numRef>
              <c:f>Sheet2!$T$11:$T$15</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FC66-4D35-891A-17D56B636928}"/>
            </c:ext>
          </c:extLst>
        </c:ser>
        <c:dLbls>
          <c:showLegendKey val="0"/>
          <c:showVal val="1"/>
          <c:showCatName val="0"/>
          <c:showSerName val="0"/>
          <c:showPercent val="0"/>
          <c:showBubbleSize val="0"/>
          <c:showLeaderLines val="1"/>
        </c:dLbls>
        <c:firstSliceAng val="0"/>
        <c:holeSize val="5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71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 Copy.xlsx]Sheet2!Daysto deliver</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 long we take</a:t>
            </a:r>
            <a:r>
              <a:rPr lang="en-US" b="1" baseline="0"/>
              <a:t> to 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9BE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Sheet2!$B$38</c:f>
              <c:strCache>
                <c:ptCount val="1"/>
                <c:pt idx="0">
                  <c:v>Total</c:v>
                </c:pt>
              </c:strCache>
            </c:strRef>
          </c:tx>
          <c:spPr>
            <a:solidFill>
              <a:srgbClr val="C9BE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Sheet2!$A$39:$A$54</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Sheet2!$B$39:$B$54</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D450-4EEC-90EA-67F07DB37D65}"/>
            </c:ext>
          </c:extLst>
        </c:ser>
        <c:dLbls>
          <c:showLegendKey val="0"/>
          <c:showVal val="0"/>
          <c:showCatName val="0"/>
          <c:showSerName val="0"/>
          <c:showPercent val="0"/>
          <c:showBubbleSize val="0"/>
        </c:dLbls>
        <c:gapWidth val="10"/>
        <c:overlap val="-27"/>
        <c:axId val="1121885248"/>
        <c:axId val="1121885728"/>
      </c:barChart>
      <c:catAx>
        <c:axId val="1121885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885728"/>
        <c:crosses val="autoZero"/>
        <c:auto val="1"/>
        <c:lblAlgn val="ctr"/>
        <c:lblOffset val="100"/>
        <c:noMultiLvlLbl val="0"/>
      </c:catAx>
      <c:valAx>
        <c:axId val="11218857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88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 Copy.xlsx]Sheet2!rating</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 satisfied our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DBF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C9BE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6367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8494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Sheet2!$E$38:$E$39</c:f>
              <c:strCache>
                <c:ptCount val="1"/>
                <c:pt idx="0">
                  <c:v>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Sheet2!$D$40:$D$43</c:f>
              <c:strCache>
                <c:ptCount val="3"/>
                <c:pt idx="0">
                  <c:v>Jan</c:v>
                </c:pt>
                <c:pt idx="1">
                  <c:v>Feb</c:v>
                </c:pt>
                <c:pt idx="2">
                  <c:v>Mar</c:v>
                </c:pt>
              </c:strCache>
            </c:strRef>
          </c:cat>
          <c:val>
            <c:numRef>
              <c:f>Sheet2!$E$40:$E$43</c:f>
              <c:numCache>
                <c:formatCode>General</c:formatCode>
                <c:ptCount val="3"/>
                <c:pt idx="0">
                  <c:v>7</c:v>
                </c:pt>
                <c:pt idx="1">
                  <c:v>8</c:v>
                </c:pt>
                <c:pt idx="2">
                  <c:v>6</c:v>
                </c:pt>
              </c:numCache>
            </c:numRef>
          </c:val>
          <c:extLst>
            <c:ext xmlns:c16="http://schemas.microsoft.com/office/drawing/2014/chart" uri="{C3380CC4-5D6E-409C-BE32-E72D297353CC}">
              <c16:uniqueId val="{00000000-0E45-4FB6-9BF0-81631A938C44}"/>
            </c:ext>
          </c:extLst>
        </c:ser>
        <c:ser>
          <c:idx val="1"/>
          <c:order val="1"/>
          <c:tx>
            <c:strRef>
              <c:f>Sheet2!$F$38:$F$39</c:f>
              <c:strCache>
                <c:ptCount val="1"/>
                <c:pt idx="0">
                  <c:v>2</c:v>
                </c:pt>
              </c:strCache>
            </c:strRef>
          </c:tx>
          <c:spPr>
            <a:solidFill>
              <a:srgbClr val="FFDBF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Sheet2!$D$40:$D$43</c:f>
              <c:strCache>
                <c:ptCount val="3"/>
                <c:pt idx="0">
                  <c:v>Jan</c:v>
                </c:pt>
                <c:pt idx="1">
                  <c:v>Feb</c:v>
                </c:pt>
                <c:pt idx="2">
                  <c:v>Mar</c:v>
                </c:pt>
              </c:strCache>
            </c:strRef>
          </c:cat>
          <c:val>
            <c:numRef>
              <c:f>Sheet2!$F$40:$F$43</c:f>
              <c:numCache>
                <c:formatCode>General</c:formatCode>
                <c:ptCount val="3"/>
                <c:pt idx="0">
                  <c:v>37</c:v>
                </c:pt>
                <c:pt idx="1">
                  <c:v>51</c:v>
                </c:pt>
                <c:pt idx="2">
                  <c:v>39</c:v>
                </c:pt>
              </c:numCache>
            </c:numRef>
          </c:val>
          <c:extLst>
            <c:ext xmlns:c16="http://schemas.microsoft.com/office/drawing/2014/chart" uri="{C3380CC4-5D6E-409C-BE32-E72D297353CC}">
              <c16:uniqueId val="{00000001-0E45-4FB6-9BF0-81631A938C44}"/>
            </c:ext>
          </c:extLst>
        </c:ser>
        <c:ser>
          <c:idx val="2"/>
          <c:order val="2"/>
          <c:tx>
            <c:strRef>
              <c:f>Sheet2!$G$38:$G$39</c:f>
              <c:strCache>
                <c:ptCount val="1"/>
                <c:pt idx="0">
                  <c:v>3</c:v>
                </c:pt>
              </c:strCache>
            </c:strRef>
          </c:tx>
          <c:spPr>
            <a:solidFill>
              <a:srgbClr val="C9BE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Sheet2!$D$40:$D$43</c:f>
              <c:strCache>
                <c:ptCount val="3"/>
                <c:pt idx="0">
                  <c:v>Jan</c:v>
                </c:pt>
                <c:pt idx="1">
                  <c:v>Feb</c:v>
                </c:pt>
                <c:pt idx="2">
                  <c:v>Mar</c:v>
                </c:pt>
              </c:strCache>
            </c:strRef>
          </c:cat>
          <c:val>
            <c:numRef>
              <c:f>Sheet2!$G$40:$G$43</c:f>
              <c:numCache>
                <c:formatCode>General</c:formatCode>
                <c:ptCount val="3"/>
                <c:pt idx="0">
                  <c:v>150</c:v>
                </c:pt>
                <c:pt idx="1">
                  <c:v>182</c:v>
                </c:pt>
                <c:pt idx="2">
                  <c:v>163</c:v>
                </c:pt>
              </c:numCache>
            </c:numRef>
          </c:val>
          <c:extLst>
            <c:ext xmlns:c16="http://schemas.microsoft.com/office/drawing/2014/chart" uri="{C3380CC4-5D6E-409C-BE32-E72D297353CC}">
              <c16:uniqueId val="{00000002-0E45-4FB6-9BF0-81631A938C44}"/>
            </c:ext>
          </c:extLst>
        </c:ser>
        <c:ser>
          <c:idx val="3"/>
          <c:order val="3"/>
          <c:tx>
            <c:strRef>
              <c:f>Sheet2!$H$38:$H$39</c:f>
              <c:strCache>
                <c:ptCount val="1"/>
                <c:pt idx="0">
                  <c:v>4</c:v>
                </c:pt>
              </c:strCache>
            </c:strRef>
          </c:tx>
          <c:spPr>
            <a:solidFill>
              <a:srgbClr val="6367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Sheet2!$D$40:$D$43</c:f>
              <c:strCache>
                <c:ptCount val="3"/>
                <c:pt idx="0">
                  <c:v>Jan</c:v>
                </c:pt>
                <c:pt idx="1">
                  <c:v>Feb</c:v>
                </c:pt>
                <c:pt idx="2">
                  <c:v>Mar</c:v>
                </c:pt>
              </c:strCache>
            </c:strRef>
          </c:cat>
          <c:val>
            <c:numRef>
              <c:f>Sheet2!$H$40:$H$43</c:f>
              <c:numCache>
                <c:formatCode>General</c:formatCode>
                <c:ptCount val="3"/>
                <c:pt idx="0">
                  <c:v>312</c:v>
                </c:pt>
                <c:pt idx="1">
                  <c:v>373</c:v>
                </c:pt>
                <c:pt idx="2">
                  <c:v>351</c:v>
                </c:pt>
              </c:numCache>
            </c:numRef>
          </c:val>
          <c:extLst>
            <c:ext xmlns:c16="http://schemas.microsoft.com/office/drawing/2014/chart" uri="{C3380CC4-5D6E-409C-BE32-E72D297353CC}">
              <c16:uniqueId val="{00000003-0E45-4FB6-9BF0-81631A938C44}"/>
            </c:ext>
          </c:extLst>
        </c:ser>
        <c:ser>
          <c:idx val="4"/>
          <c:order val="4"/>
          <c:tx>
            <c:strRef>
              <c:f>Sheet2!$I$38:$I$39</c:f>
              <c:strCache>
                <c:ptCount val="1"/>
                <c:pt idx="0">
                  <c:v>5</c:v>
                </c:pt>
              </c:strCache>
            </c:strRef>
          </c:tx>
          <c:spPr>
            <a:solidFill>
              <a:srgbClr val="8494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Sheet2!$D$40:$D$43</c:f>
              <c:strCache>
                <c:ptCount val="3"/>
                <c:pt idx="0">
                  <c:v>Jan</c:v>
                </c:pt>
                <c:pt idx="1">
                  <c:v>Feb</c:v>
                </c:pt>
                <c:pt idx="2">
                  <c:v>Mar</c:v>
                </c:pt>
              </c:strCache>
            </c:strRef>
          </c:cat>
          <c:val>
            <c:numRef>
              <c:f>Sheet2!$I$40:$I$43</c:f>
              <c:numCache>
                <c:formatCode>General</c:formatCode>
                <c:ptCount val="3"/>
                <c:pt idx="0">
                  <c:v>224</c:v>
                </c:pt>
                <c:pt idx="1">
                  <c:v>247</c:v>
                </c:pt>
                <c:pt idx="2">
                  <c:v>250</c:v>
                </c:pt>
              </c:numCache>
            </c:numRef>
          </c:val>
          <c:extLst>
            <c:ext xmlns:c16="http://schemas.microsoft.com/office/drawing/2014/chart" uri="{C3380CC4-5D6E-409C-BE32-E72D297353CC}">
              <c16:uniqueId val="{00000006-0E45-4FB6-9BF0-81631A938C44}"/>
            </c:ext>
          </c:extLst>
        </c:ser>
        <c:dLbls>
          <c:dLblPos val="outEnd"/>
          <c:showLegendKey val="0"/>
          <c:showVal val="1"/>
          <c:showCatName val="0"/>
          <c:showSerName val="0"/>
          <c:showPercent val="0"/>
          <c:showBubbleSize val="0"/>
        </c:dLbls>
        <c:gapWidth val="219"/>
        <c:overlap val="-27"/>
        <c:axId val="1329782768"/>
        <c:axId val="1329783248"/>
      </c:barChart>
      <c:catAx>
        <c:axId val="132978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783248"/>
        <c:crosses val="autoZero"/>
        <c:auto val="1"/>
        <c:lblAlgn val="ctr"/>
        <c:lblOffset val="100"/>
        <c:noMultiLvlLbl val="0"/>
      </c:catAx>
      <c:valAx>
        <c:axId val="1329783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78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 live?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Where do our customer live?</a:t>
          </a:r>
        </a:p>
      </cx:txPr>
    </cx:title>
    <cx:plotArea>
      <cx:plotAreaRegion>
        <cx:series layoutId="regionMap" uniqueId="{67154102-6B21-4A3D-8D7F-D8EED58BE74E}">
          <cx:tx>
            <cx:txData>
              <cx:f>_xlchart.v5.2</cx:f>
              <cx:v>Sum of Quantity</cx:v>
            </cx:txData>
          </cx:tx>
          <cx:spPr>
            <a:noFill/>
            <a:ln>
              <a:solidFill>
                <a:schemeClr val="bg1">
                  <a:lumMod val="50000"/>
                </a:schemeClr>
              </a:solidFill>
            </a:ln>
          </cx:spPr>
          <cx:dataId val="0"/>
          <cx:layoutPr>
            <cx:geography cultureLanguage="en-US" cultureRegion="BD" attribution="Powered by Bing">
              <cx:geoCache provider="{E9337A44-BEBE-4D9F-B70C-5C5E7DAFC167}">
                <cx:binary>7H1pc9u4svZfSeXzpQcLSQCnzpyqAUXJu504y2S+sBRb4b4B3H/927KdjEXRGfqtuG4d1VVmKYVs
qMkH6B2Nf992/7pNNmv1pkuTTP/rtvv9bVBVxb9++03fBpt0rY/S8FblOv9WHd3m6W/5t2/h7ea3
O7Vuw8z/jSBs/nYbrFW16d7+598wmr/Jz/PbdRXm2bt6o/r3G10nlf7JtclLb9Z3aZgtQl2p8LbC
v7911kn4LVdZuH67e438/vZmnb05r0P95uprqIv8jZPXWdW/fbPJqrDqP/TF5ve3O+ORt29+G//s
HotvEniKqr4DYmodEU5sLEyO7j/47Zskz/zHywYm6Mi2EcKYiO8/e7lOgfL/g7V7xtZ3d2qjNTzq
/f+fH2jnueA1/TH/9dxuX9MWIR/A+v3txyysNndvbqp1tdFv34Q6v3+Pqnfy7Tv4eHP/0n7bxfg/
/x79BbzG0d88mQbjd/5Pl3aR/odZ4OTwNGsAX1fb//7qKcCPEOZCUMrE/YePpwA5wtTkFsNw5WHm
PUyBl/I1jf/kKDPAn6Q7MOQ/qBDmbv/rQTfREaOEWcyyH0Bn+6ALE1mY2iARnoL+Apam8R4PMAPq
McmBofxHAhL17jWWNjviyOSE2/RZlAkjJrNBbzwF+QUcTYM8HmAGyGOSgwO5CLPNr1/JlB/Zglo2
tsxp8Y3FEYOPZTFzDPJcjp7DeId+FsQ7FAeG8E2wfhUFDbIasLMpp+zBRoPFumujkSPKMeJgyO0i
PJ+jaYRH9DMQHlEcGsJgjsuNytbqLsxewxo3jwBGijmlD0jTEdKYHRFQy4JNGOMvY+wZwKcfcA7w
05QHNgGcPKn1ayhqcUSQIGBsWc8ucQQzwxamtbvE53M0jfiIfgbSI4oDQ/gmz/L0NRDmRyYVtmDk
UYiPlzYhRwxbtmnykZqez9E0wiP6GQiPKA4M4fN1/BpmmDhCJsUMiUfRPaGkBbawzdlISc/lZxrd
HeoZ2O7cf2DI/pGu73L1KiY2BR8Jke3S3LW8wI1mhADm4nv0bMeNms3QNLijB5oB74jiwADexhwX
4cZ/DdPrXvwyS5Bx+AtsLgzGNxhl1oODtauAX8TTNMz7Q8xAep/owMC+2KhbiNo6vzzeyY4osoXN
bQh6bj9jwCHkbXIsGGbm1KKez9c02iP6GVCPKA4MZ1lX1esoZAsTCjHMZ+IiBB9ZlmlDZmMU4ZzN
0DS+u+Qz4N0lODB0r5Macm2vsIrFkaA2swjFD6t4L4CNjiCpJSyIje0K7PkcTeM7op8B8IjiwBA+
g4DIK+BrHVF2v3oh+7j9jBOTENbcpq0wZDF28Z3LzzS6O9QzsN25/8CQhcz0utmoV1m+/AgLm2DC
notpQt6Zb0Mi5shdehFT0xjvDzED6H2iA0P7fQhY6/DuNXQxPRIcWZQ+ruX9xQw2GcwEgseBzRcx
NY32/hAz0N4nOjC0F5vkzWUO1S2/XnSb+IhZJvjF26qC7WdPNZsQ7TQpZB1HaccXMTWN9v4QM9De
JzowtMFZhNIRuVZf1/eFJPUvriIyj0yCuM3EozEG6YmdOAkoa1twakI5wcOU2FXZL2ZvGvvpYWbg
P014YHPgYn0HuvzXL3dqH4EmpxZUk0xbauBPIxsKiEw8ylrN52ga7xH9DKBHFAeG8HGdfs2Tu+rX
Y7wtF+I2Ns1thnlnZRNIWdqYIigymVrZL2FpGuS9EWbAvEdzYEC7yZtFriDY/euRhnISRoQNfvUD
nGIsymE1Q50ghnrAB2NuFDx5EWvTiO8PMQPyfaL/Asx/zuLOU29LRP/4rjUnCn9fWvcLhQQQ/LJB
YU8L7a3GxpCsxCC17z/ff/ux9PNJ0fJDxmOKp2l8wZOaLnh+eMSfv5T/uuLd81y/+SPzN8nmNaJg
5hGyCKHcfMxNjGPZmB8Rk0L2CjKT289otb6QuWk8pwbZmbvTxdtTZAeG/RIq3V+lTsiG6l1sWxZ+
3t5m3II/eBT8nM/RNNYj+hkwjygODGHYU5CFOlnXr7G42ZFtIga1nc+VFOAjhLbLm40K81/G1TTS
E2PMQHuC6sAQv07Wt5vXKTLgUNcHhtWjRt4rEAK0GZSYIPJome1q5Pl8TeM9op+B9YjiwHBeJZvs
NfIa4sgisK9C7HtSsM1GcAzrfRQVm83JNLC75DNw3SU4MFg/1MlavULQE6IgULQL2+UeK4H2Q9xQ
4ik4B40MC/tpkdB8jqbxHdHPAHhEcWAIQzDvzWm+LuvwNZYvOxKwacokEO+8/0xIaSKICTUHD9Gw
kcH9QuamEZ8aZAbsU2QHhv1JWmxUuE5eIS4C9WFQG2ZtFfAk8Ng6ssAitzAUCm4/I+Bfwtk06nsj
zIB8j+bA8P6wCdavUa0N8U7A0Qbf+hkHC6q1ITWNoXzoQQ6M0J7P1zTWI/oZSI8oDgznrehaqnV2
G+rb/Lv6nIg4geX0su3vDOLaCDHQyz+M6t3wNtlmtrDF6Sh3scPRHHEzDfT0MDPwniY8MNhPsv41
Qtw27IolYIWzx8rAcYgbgmaw7G0bZsX3ufYQ9ZzLzzTWO9QzIN65/8CQ3U7fC2jH8BrwMijfhfID
KPx7WNN75QcguwnHpjBHUvtFTE1jvD/EDKD3iQ4M7TPoqPIaATLwuaCADKztR6T3FjIkMeAaVPiO
awTnMjSN8u7zzEB4l+DA0D1fa715BV8LjDATdrVz8ehqoT1fC2oE4bIJhSe7cno+R9P4juhnADyi
ODCEQUBtO8+oephj6bzQBIPyEQaWNMKPpUHjFBaY2rDzCqw0MaoEfRlX00hPjDED7QmqA0P8Yg2d
Z14BbAifMBMCKOixvGACbAv2v0Ml2cj0ms3QNM675DMg3iU4MHQ/QfyxfpVaMKjs5LBPHT3XSwrK
CmC3JEY2GuH7ApamER4PMAPjMcmBobydwkX+Ku0K7k1sKPjjj6oZDOkdtxlgFrbJOGx2f7DBd/Xz
SzibRntvhBlw79EcGN5f8uQ13CnoL8TAU4aNdCOQYQMdXGAY6v924Z3LyDS0O9QzYN25/8Agvdhk
d/nt6/SaEUfgAkNxPnsMaI/XMKFQpc9sSrf1+08TVi9iahrj/SFmAL1PdGBo3+TJ+lXKhaAIzILC
AsYeC0n2oAYT2xTcQuPNVvM5msZ5RD8D5BHFgSF8kcNy/vVmNey4MQWCva7ffai9Km1oIWZCwSds
lxyt5bkMTeO7+zwz4N0lODh0s2qjNq/QrhOqC2wGapii57oH4SMbmgfZdNzJ8QJ6x87l6TmMRyPM
gnlEc3hIv46pRaBN44/GFHsb57beE4RCBFjV42U8T288i/DfTzMP3b/vPzBkL9fFa+yRAg0Mrb9M
iETfFwfshzIhJwGRTAQe1S6yc/mZRnaHegayO/cfGLJf6q+vgezWjMZQ9gGL8v4D+O24wts2I9Dz
i4Ns3kV2Lj/TyO5Qz0B25/4DQ/Zy06xfpX0yiFubMAhnPe5s3EtAQEkutM4Hu2oUmp7P0TS6I/oZ
+I4oDgzhK6j98F+japNCVRd4Rtx+pkkQNP/iFnR3s8f1XPM5mkZ4RD8D4RHFgSF8s75V0AU9q/62
LB5iDr+iyodDA2Vokg1nXDxTEbD1n7Z/oOHM9jOKZ72Mt2m8J8aYgfkE1cHhvm2pDIccvAbuUOhj
QeQDNqc/4D6uDwDdbCKCYGPzSH5Dgu8FXD2H+N4YsxDfozo8xLfJZCjDh/++RnM/2O0IDTmfa+6H
j7ZF+KCzRzvjHnO6c9l6FvO9Z5sH+h7ZoaEebtSrAA77aWxEof3Ag+je96zQEVyE5iQQ3pyS7bP5
egbxXfo5YO9SHBzOOg77vP71S3vbVohCJS75fpjJnjQnRzZslrSg2ciup3UTzufpOZRHI8zCeURz
aEhv+3a+xkZI8KgpIdAb7rH2fq9GBGKd23zGntd1M5ujZ1DepZ+D8S7FgSH8oYbjDtJXObQG6oA4
nGQBGN4L5b3dctBlBGQ6xpyM1vJLeJpGeW+EGTjv0fxvIP386XM/TvhbrKu1e3824JMD6H5+9f4l
wdmGI9LHjO+E9/Vdtp7c/f7WAsP6yZaL7Rg7qeKnrT4e3Lm/qTZwWs7vbw2MoYPQtoEFgnZwFvQs
gAHbzcMlaC4EIVGEYBs8h1Yl23rtDHrWBb+/NSFjibeRcrTtTwKd5kBI6LzeXqLkCDoNQgU4KH04
MgdahP44v/E6T3o/z368kMfvb7I6vc7DrNK/v8XwG8XDbfesIkvAHh9o229D8oXCvj8wG4vb9ftt
ATHc/T/VQPOirOvuMmupcJvWCwqZ04jFTsza5p1tWP1p1DVZ7CIUV1+q3Gw+xqbuSqlFVn5+8vam
uIHU+5gbOP4Fip6hNzUc7LWtvHjKjZn1RSyCurkkZYYv/XjIPFmz3A6crqlyIZvWrL+wpjBCqVJe
lU4ZqdiX3qCZ6UBiIbsTVYWuYIygXpAkwR8Hy+B41duWt8G9gbvlzzkm0CJ/j2PIXUEVL2ychDZR
aMRxyALAtq8uaWf5/sLuhuRjA8louqxYn1uy6TscLULmcTkwuw9lHyO6ShvV44Vq8uou6LTGTmgU
1kLD4ZyNrNIANZIpK/ZdP4+C67gWp6kWgV5AjFZ80kF5Fiet1bmhNuyLUAVNuvr5U+3DADvxEWwI
hB6G0Bz+/qGfTArWG35rFIm+zCpPfMp9jok0YwJTo8jq7rrtlLgpPJz8+fOf3c61p3MRurjAIYyM
QltUKKAkdMvWk5+1UOebhfazy4wP+BLHQX2ZaeWE3As+/fyXYPns/ZIA15hBcTWEtvlonhWZ2Q+l
CvJLXiBzXba5SlZexXsi4yJwUVkng0NRz3Mnolab/tOk2U6K3QeFiQJbdExo/wrdxcY/D4nQMPCz
NLxkZWyt06i21nGy5cEaUu3aKs9ljwD6VZuULZFlnLNNlQh90orePO9sqpBD2yiPnYhl6UeqCkIX
Ae/7TWE0xQIZQ8ocS+SmOraoPdTy529v22VlzD/big1odwin60H11C5QyK6tzLI84wLXXroOVaV9
iY24ykxJ+z7zT9sgjL/6XBTn3VAGSzs3u9AhuGHfKjYMudMHPnPMPGo2oaLsrrGKgJ3+nEnT2gOZ
mhQm0bbuGkqBLAaq9ul0shUPkQoqehGZZeEJvqhEMKy6qqNiWTV17aiuRO+atLdqGQQBcxTOVpqo
YpWYBXHipEzfF4mVdpIlrf+5jdL8pNdVJQurLD7aOuYLr8w8p86jKJRhRaNWepHOLtvC0FelMVDX
97GIpDF4WeqQJkiPLbtK3pPIv/b7jHYyqVl5WXnlh4qkBl3YDYEXGfYEZINZD4NELY/Ok8DiXzxU
m6eBzfH54HeNcFoUmKkDky48MbjqU9n2fFjg1jIWQ9TdFrqsbmpksEC2acWWni7rE9Mj5EMZ4DZe
eczAoRyC2PsKwQbVyDArjb/qlKWLotDkJM6z4gSXIrkLm8KGdU/T+CYUXsdkU5r+qfJU7fTwHlbY
JOKqbNPONVtVLjHucOMmcNqq7zStz0unIYHnppqqRV2Iq8AzfLTAOK+OQdWQ1slQZEteseTPLkXB
GVGiuLFoZa1qERlkqe10WHM7V65GXTQsm5j7S6Pr0JropP2m/aKwnIFUqJaZTxp/2VVRDoujbd3e
b2q+VLkXLJKKpscZ3CqhrlPl8KLThslIR5HhMK9lkuVWN0izSjyHVkaWrpQdu75Z9+hdS7EJ5x0r
lMgIZlK1pFUr9KqjrDu342FIvHd1W1ZpKvsw6TN1F3gBIcMX3RodSwMpFIjy/Jb0aVRRBd3y67pA
l1VcpXF3KsJyWDWirryTVIVhISOS5DeIGfQk6imtnRow8GRfItEBXCnni8zzQB9WSdyWrh23PnJU
UmHvKiiRzfLjuGdtsOi7RFTntq4ozKjWy7FunRp04dI2gsi7amDp2L5T8oLDhKOxTpdZEiohkxKU
l+d2TWg7hgft1SzZeygz4fBeL02dQNStt2wTlqSu9sAqWFqZnw4OHyyQmBmJzdpJA2UkstG9r691
aKSpm/sh/2bUDQvRAuWkWoUmr/mlZXi+d5pRVjErcrJOl0N/rMH9VYFb+AFLXU83Q7kUSmfhsk/s
tD9GWqeFY5E+CR3WWX2yUmEZGg7ASj4bRTrgBbRpjtMF/IuMqyRChoZXnmWfozQV6QlVokrcOKjs
90NdUbqMjJzgs6ANNMskC0hQrTzVFNkNKGN6GvkDiZd1ARy4eZX4g8txNwiHR33RXqS8h6ltwFJR
Cw/j+lRRy0oWvkf9esGyBuAMmQb7JBsiOmySGE7QWnBgIF3QPg3KE4xC89gPWWw7JI5Lugjz0FsM
tRdb0mhVIa4jr41Mh4ZlNMi0iAbjDHmJucSF51vArmCFi/tgyE+CELe+GwszaOX2PolFKDKYPj4t
na4NjUFWXWj8pWBPam/IENYRucRDFg6h5I1p0A990pL60i5Eny8yUVYXVp2BSvI1i4FApBTelhcG
OPsy4CQLTss+Tbqlbq0hPMOVX30wI2Ktrc5LPckxTN5lnXWMutoeQmC+xlG6SGgZa4e3nhvisPyS
tC1YFpEfNTfastuvhQroccNa33N5bCEiM+7BOFaSR90yUw2+HLqCmu90ZeEPuDLgjtY2NHcq3LPO
bUgahceqI6Q9yZivyVVoMPEpQ+V2ckZRqVcs0YG+7nqz4g4qW8AmaDNgLNcgdM9Ag4lPlCOY3SlI
SbWAc1S6/KTSwiPXkarj+D3hmTBPOjNq64uqq7bGZ9B311Zs2J2btyn8dJ4PQyM7klbDCsVs+/Bb
1luQT8BXkeJL08rgKerSglcVxHk8OCJuYOkUiR+H7zLFYMmrGqwCH66BTCVVFlyV2OxVJmkRIIC7
VV19kRpBoWWI6rJbdlBbRd2+KclWaMBicuCJQIB0Am/t5CpLP3nQFfOUN2HIJQ+sGOZF79vrNqPA
Rqei/j2tOqTPfDBzo7O8yOLohoO2WOkM4ctS+OUXSDfYpQzMICSnOfdFfeYFud8sesXKFgzcnq4K
Aq/VQazsb+Mktq67WqP8uER9E39u7dTXx6lnpN/6QWxlSFgmwQL8AE7dkPSBXhZ2Kj4byEuXaVv4
pWQmiLletcH7MK/0mUjjyFpYRBEfxB606ZZNQMQnFRmN7yYkg2UyGB4VJ2aW43KTgkDuT6ErEayN
diux3cgy4I12zdC4oGTa8gyrmtiOJ5KqAU1LGwSmdxn9pUQjPhg9mOmng6gUvqt01muZYsyak7Al
MFSX4mBwzNa3/ZMCYGkdIxb2csibprroepbcRI0uJWf62Ey7xjoeWhvAiRHWw6pI4jy/yOzOPDcq
ZOZuUGZpc+b3bRE43NJp8AEsEX2HRAZiBESnbmQc6FZL0Ta8BC3QlzeJX+LwT5wPlDdyAAus/1hU
1BAwmPaUGzAj9k8Nr2i/Bj4yGidh2o5PQoHwu04b3rBSdalDNxxqmKQhqSJ63cXJYF2mdpEksiwa
ZF+YODA7pwfrRrttUABqLc9CX6qBpSA7tE5c3NFOLZqEcLUaeAmzPzY7ny16r0fa8Qptl59bq8cf
okDBXANNJz7BXE/1dSYyDAKWFCJa8jSwW9nVXwivW45lHDfso0Wysl20ll+ZF6aX8OZ96WmhQLnD
jHaLkAKa4Dj03XlIqzg/Z6oI6DXpUGKfeF0u4Lm6zvAvYmUU7SLVHsgMsMbq6iJJPOBfidhf6oDH
waLtEDrpSxPWfW/bLJSmF7CLe6v0MXZx/WDkPzjgt3nRq9APqtHX/3zIU/jn31uaH/fchyn+/nYR
3qpc59+qn9612uTbjft6fNPOyPDrj9xtwxc7X/ZCKc8ES95vdJ1Uz1x8PpLyo9RrG2mAwjC6LUJ4
YsTvhVMej8h+GoH5m+x7PGWb1NwebsVBpXPosg++yY94ChwUzCA0gigliGIClx7jKRQCclACDocw
mNu9mBBf/TueApt9oO0N1DDBjh7IkUPT/u9PugMnxJAev+/GU/Z8Z2gfDGU1IFPA5IDjEkeuJe/8
UtQ8qK+isCpOeSLMC5V1ZzxLSseq1Sc7TRdlVMXHWc6SYRPkujTe1X0PNt4QOmBeJO9EUGSyivt3
lW+e5jrNl2WiQ4mHHuICMTZWYdKY0iyCpR83wQkYn8jxC8+UIB78wBFNmS1TViT1Te8XX0TQ59KA
s4YkAwsgcgqizdOmM4ZTq8i6wHN63oendRIveuIZx5WhvvkiGyAkgbxVj3NwjnAsTpLabz4V0ALs
jIR2fMFpBrZ/eFPUNChcnvZoWWAeLhploAVrRLbI6UAXSRISSWwB4gKLs5ipyi197FgVqZZWV1xy
K2hkQ3OxbJKhk4ZXgUkRZO2xavUl1lo4VVZ+Ua1/3uPWDVC/IJpcINM/a4cqkFVU1DIEUSgjzp22
1rWbAcLS94zKhR/zv3ltbv/VD1HjLUurDCT4RGCuBhofC1W/D2J6wyOU1SeFHRjVuxBn5TF4NU5W
BvZxafU6u7ErJJQMao81kjLPXFHcNpG0POtb7NXtyTZdtKqzOF4MaXbdR/rSNovTLAkuS0TOeGUs
c92eGqm9yAcQNWUmUTQ4VljctRl5H1biy6uImP824WHBSWc/Ex6Pux3HwuOB7LvwgNYnEM6CLZoM
gaK+D6t+Fx5QfGwxYWEK5W4QdrVBUn0XHiYIDzjKB+L5woSVDRHXH8FY2EQEDu5D6Tq+v/QC4TEO
q1hQQws9byEHyLC1lVe7AYsOGX6jVFZfDn3slKqWvrZkyNN/Ct+gPRkl4GQxDqIQTqwhcFbJlpEn
gTYMtk5pR2ZxiWpLfIyD0rCdlCX9cAzFBZYCFzirzROtveEmImDiwhY583PEmf+lyCN+qvxenGGW
QlgAwpTdddDT97TPG/Cre5/psyaONP2r6UqbX7de2TTLCOfmojGbUNqxkVy1UaKxGxZFTsBmTurG
4YbvRTLUXvZnGPfCtfig0EJnt1ZitpfMLJIrs0ZF4uAiTvpl7nXUSZpaGonOW8nCNqdXqMFWfN4k
0ZWq4hbcpawDh/UatutuLF3cZaUPYRD0gTXlMQS7V5Zh5yuC4CmMInSF6S1F6lpdeuL1fbmgcRou
tMKLpC+/BTx4PxTmJSbFt5o2Nwn2wQoyVfSFxbleCD+uLwxWqMsS3JjTJBQXhUgTdxiIlplh0G8m
hIWOwZxAEFEtCzdtvFKGiWG5pOUXtBKXOtPtYiC8WfjhQFZVxj722PgzIUG5gECgpWRV+YTJmpIA
poWXulAUELqQd4AhKrLEsa0+KrOi3cLmWfBe+43h1gwrV3So+9NMwh7eIskrqeNaLUxD9YvIGt6X
dsVPAwPjyydrb0IPTsTFYTgLjjDbHpVDYVrvTrGyV6Xvd1xdajddt0rim+GGSUOWTnWcHXtYBgvf
TVfMVW4mrVNzSV1y7DnxP8z1URCQ3+t8SJJAy38LQTKFQyXU06ludaqtfQ2RXo/4p30SdE7sl54s
WpOAZR4Lt2w8ulTEVqH0OLrwmfJOMWBkx2Xq9Ky/FB7qJSfDXxWYk0tNwDWpqmLp8eEvBkpARp4R
QAai+1wmBZNElb3DdEQXXesRiYMolVbQuT0VqxZnTuQNTmlyTw6WOB4olj0hK+gAg2VZKZgUwnSa
NDuOOhMUqKlkjgq3BfVHvDiQcRbiRVOEMk0jvYBFfNl2gq5KP4qlpv5Hv82PMU0v6o4jafAC3E+Y
aEyU5rJG0c3PId4VIvBmoZ2vDTsot+XBFIoWRkJEDKQVReqpS9Sk0QoEQQIPjzLHCAPXykMwUEp/
/fOf3GZHi78D5/u/OULT6BqmmtjXlxDW+GJ5yulqP18MmoGHVV/kpYekb6tCshKMrURX0oKU0vmg
6kBywzrPQ/4nCsEna7TxzYvNZVGWFyS33yFvuLX88q+0DctFmZXF2T3jv9rs/+/TyQhSGz9a0k0Y
9EWYbfZV8pbqh0oGvWsSCt0It6XoYLc/sefhZB3QiPB5yII+UckcjseEDxy6ZoFKshn4Gt/zoxy6
JsEx5HDWMTThAGv/ZfnRkQAB84ETUP3AILS2NSEbBr/0VID4irVRRHlyZeDyix9WEOaok6+4t04S
nGYysgdHq9plVipRw5YD9c9FDwuTpxAaatPyJA3LVNa+4ShWk6VvoSXK6U0bNsTlLK+dxu/PUeUt
bCOHeCGuPoWcFE6Ck/PAKhOnMdRxEut1ane+rLF555FQO4WR+o5vdWcdb+7iGpcOj8E4Bs/ItfvG
krjPBhfVRrJQqdUtwKOuHFaL2jF7ZDtVnvXLLO+vSW9ZC+InZ3VnUQk+9Z8U8iOgd/u7HNmnkDor
FmWXFdJvdCxTn4Isg3RSxsT1IPDnxht8sLzDGPInRisTVsFXOwqdwS8ICCnfk8w7oX617FnuyRKC
DZK03ach8C8qlp0VXnEWwDPJvA+VTAl534bxovFBu8YZufAw+eD1SQW+QZ1KqICG5KhuIP8SG1ya
Jj1OaR86Hi8+g9FiODbq/dp3rKYM/ZuKRMVfEOH71A9me1ZxfVXQSq8S3EIYv1R/dT6EcbJ4lRat
Lc3ayqXZgp9UUxDagccvAp98oqWmsg7bKwO2JrpxXA8LYg2+OwiIoPlKGCsjr99TI7izEi9fQTTR
wRAjPMvtddWtIZC6NAt7rXuar2qFVkmtfVcVbZp/EjjIbhKUFPEm9Ie7tgP7giJwWeoiZzJWAedr
haNLD+b3CaoydNxVJL8iyhNXZurp0154jinA22mZfVypPpIoQKETmKK/pNEAwYswT9sV5GE+t1m7
YGEaXNAu30Bshhyj3BelVDYPhgd1+39yDoOmeV7OPbTH2pdzW6oncg6sEMheEMinP1R0fHc9IKQB
EQtKOChU+iDMvteB4CMMQQ7o1Aq2y7ar0BPXQxwx0L4wIrQbgi0ecLD7C1wPbG1V59+qFeQcuD5Q
/gHl5AhqL8AH2pVzTS06o8jt9qpvqWZu0HhRBLUXol/4PWj0hHhn1RD7EGKOmib+hGsMjj5GPKxO
iiFEsmvsIT7XvWgHN+pINbhxW2R5KSG+bFu3nd2yVCaF8ga38lXYS79Tx52NffFNoBRXN73WWi2r
kJnewuuHQSySIm9tcL0Nzxjc0vbJUEgVt1D8MeTYhLRs7XfYTYmvBhcaeaQYLDhaLKo6xqsaxZyv
VOOb1scEG4G9ZFSdhASDYMpsszqGTHl/3NG+jr61lHdLP+IDgoRtlFYuKBZ0HMTdNnjKk6+hl9lg
5LfYkH3RN66RKFs2acikCMAqQ6kRycZS1tfG0oEchpSuKtSDVWiVvrmy+uCb3RqmTDP+LcoSEyo8
QMCxAq4VBmSOjaZWq47l7VngF/qM4wZM/DAlMqlKXybKyL4ixmJJcAWhyZQ0sVTIQLK2MLhmfYiO
uTIDCIO02RrzZJD2kPunBWThrk2weGXSYbHiRbaJ2WCtaEJ9twgac6XzKnSRzmwZ+yxyTatOrmNU
a6eEDEdaNCDBy7J1uQFlLD6nm0Ab+bGlYpgWTUJBG5ilq3KfSWQbX4vY84/tIakdLHK+CpT6xlrP
g3RAGEiWQiR80YLfCM9E2CrPU30KHcajBYF05AXwnEo/t/PTuG2csI7QAprzmNJibf9OCM9atSKH
ZEEdWBJSLLFLlcllW3uNmw0K2OT0zySLIexTRhBoUiYCzct8CQG2XlZFU8oaSppWOLHLd35fYtn5
bfWOhZD2HnpcYmfo+/hE5yRZDpBndXUDPqU2u8LtMKulTnXpel0WH+NEBU7pRenx/5mHEO8Fjwuc
gufFpgOb9++L5nUFjsDfBXTboO8D7XfhCRLS2h6vCQIQg5jaFsz8EJ7QwhhkIxSMQUtbEKA7RiJG
22gPHCHFQIJuj5H5biRCY2RwTS2I1ILYsxkc3fgC4Qm1O/+PvTNrjtvWuvYv4ikQnMBbDj23Wi3J
mm5Yki2DBEGAJDj/+m/R+ZzYTnJO5b1O5SauxGp1k8Tee61n7f718AxWiCjEz/TxG/gryfdjkxhW
wRKqwRsuciiAO8Rto8kBz517UAvokFj41adZcBoFk3ViCrSO8KohGoWf5AqPst2Jh4l3x5JN9wOZ
TnNmi6jO/TCCEwJLq1hACnSPY4UpvnL2XuFHDlqOqFn7mmk6+HXvxxOazWKRUD6MgefPwygLwmnb
Os5Xh/EuHr9pj5BXYtgmNG1Lq4kWhtFQCBa7EgRFaPKX2c/yyEh3TsNurhLS1g+u3/fokSwag0mL
nXoh8Tx2kcubIW5V9iRDO+moP8etMYlXjO9+X2IsbqoE6+Q/NyIo4sEvnn24khFYur0zMViUOD7h
vT/7OAZZUC9xNjqbnLVW5JhqR/3BSwbNdmaCXj67QwvLenqfdfZeddOF6LyJPPCIBQmLuHLLbVlO
ewaoamNPY5u0g6UjxusvHOJXMtnqudaeiJx8cJKs7z78jC43ppzfitrLjr1XAP7xaBXl3E8txew7
agKoJEBH4mI1GbWZML6P5dH2muGFhUOLxhAo5wYIU7y4QZG6WaA3cnZILEGSpCzPMYqGCzpKqsx5
JmxKSlB/G6aLOsmkNccd7uaoNWWeWgXwlpkUWaqIKY4F0XLLwrG7p96wPI7LkCeawBIujSTn2a8w
ZYxl+aLbgR6KIPCfB1NVdxCrmtvcp8We2e10asLMSYZZ6gMsW2iJluuKE0pEvRIL06lvF0mjpSLZ
+8QKi8Fis5q9ouRa6tBO83ysP5EZH/w2A6f5aomQf3WZ7NNq1dfHbu5TFNh4rihI0FWFH1Y93rRg
ASDQd/OCT31MGygXBgI+sI0wtpr+pl21/WxV+QMyTGi3IakEqweA0/bGXV2BpiKg2lafAIYBUBce
lauHoFY3wV99hcUt7USvXkOwug76mwFBi/vgN0cC3oReXYpy9StCADN7Hxg4mgi4GRaDr2FgcEyr
0wGeIplW7+Pfw/zbgbzq0X9/mP+WTvjzMb7+rR+O8XUgR2DR8dCBri7c78e4/R9surXXs/P7Cf9d
fg//Ay8P3x2E3hgbgLBI9Y9jHN/mCYQSjD2O8N86539yjLNfuUwP/iCSGQAz8R1GwHl/kbQGqmjX
WOF88fzQbIglVWpcgsm3dFjWHBkRkxc1g2dZsZep+jyO/T2pvK3HygH3PibjIifeaVLAowdBVdTD
akPhwqEwO2aDBi688TVEumlo6it1oVShFbWO1cy9rRH6OVxsEVse+awaNDHAC65VoUt0M1omVj3I
yOHBZWFyiJUGqcBrcNqFHpfIZpjN+4KrWFX0WjqW3A/V2CdV5qWAIL2dFUxT5DmZ2dtlrxg4OOXF
RV3eQTP9GMvmXg/Fqa7WsxPt3F5M1nTgoZTx0oX1hfT+KzItd2GDn5LZ5RlZ5DFxaZ+YSckkG0N4
cvhoHCrRXA1XUi6PVV9/CkVzLHLzSixnK+oKv+wy0lgBanS9GY//6J2Xmn0BC1LG6MGgYtDhCK1A
x5kcm9jqO5zJ/rQJafa5zB0TeUxvMm3SwGrOitbPoqggcDp1Fhd51aaADN6XAmBT0eIPrL4DZytj
IpyG3RqHWfPW6tWMyorXywiazQYwII5LjOXwAoJpQ8IRnkB37O1wY7fLx8JYkXrBcFQTfJGgDVhk
zJxHqjd17Faiils21ruQhzoaqftU9/LcWw5PGrdOh4kC6p4/ssBPKa27mGb8DXzs1z6AahmUnko6
d9Ebm3QSTTC9zdrZjwK/Ibta1Ne8BfkIkAPdgcXjXGo/bl04QsrX+4F2j0Loa08qEvl+PUZMis3K
QsiqjXNHbXvbv07AVjtVh5g4gPW0nUwGqxpS5uN2ZcbLoqLkXRLMC9kFUhUp2nJoMTzr0qIBoZGJ
27LigIeMf8xGBiyiMVPSecUbmRced4N+Cyanjc1kwSsBT7LLkA9Ixq4sAfC5kKlpTyJiL3UyudyN
eMfvgyzAPaUduqNVde4yPcXwTtGqTGDWiga8quO6R2mNV9/OX1TgZJGaKpZ6xj9VPt0BDOggmYWX
SaHZkBb14iC394QT9Ba1DcUXEYZIyOmiJ2vf6q6N5rH83IseBKDzXs/jrXD7KYGD84FD6gYgURW1
I7sZRo+kcJHbKDNqgIZnbp3a+SJc4DemzneOnN9HEd5MVN0XSoq48pYXCes9MpbHN8wTYlNzFNou
81+Mbq6U5ysxWn6IBY4TvPXt0o9BTKXlY7gwMgp5ca9zPuKhLmRq1eWTGvWT3eZz5A/uW0vEq/Ih
fNkdbJtaZ1AHtXPuNXsUrXW0+XBgYUVSMnmpn9eHDB0OWGQIivAYIxFaL10zbwOhT7qtZDQGZkR/
Ezx3oGUx8TnhbqiDMDHAInejjRuvMaF7oaVmVtIA6vvyb1n8VhbXKvb3ZfH7grI/F8b17/1eGAl8
ZGyiXNdGE4o7/OfCCGE8IL6P7Oc3Beh7YcRqcRRMhGVA664czPfhxsO3vnzbouUGmG/WMvsPqmKw
foHbz8oQIBaQ/mDwsD/CRvz85+GmqqWrZ0w+N5WzDJuaZLCmSPASMJ7qoH+inf+pXK7ZPGxpY6e0
Yde+458yueBMB68T124JT2U++yfBrc/OWH6qgOglttOKLYjGd78DUz+PgOgqsSNcjXHd641nt1mc
DwJoLLFfLTXU73anishBZUjxVGabJRe7sWj9Xcbbg0LkIBJO/lR5+qTm8GWxOshNrI1h6bzNogRV
47y1vv08DTON/W46dwNI8Rn8ZVI34tj3M4+8Sg9PaNZfwe4UR1XbWQqk3k9ILT6VvXwlc7Ds3Yrv
M2ghG58tu6Whr2i/b0LVxrMf3IfttoSO1IS6jTwxfurz4gX99W4k+sm0Fj8EtE5C48aVGm5sgf5V
zjfTXNyA94/hmqLYF/kXXXcXAG5N1PjjTViMTqQLunf1RjRdBJ4npvSeN+c22NRd+dLAJY7wK26N
Wfyos4dEutJEnQe1ohSUfcrcLNKeMbvBBxOMQWsL0/LkV3rc6S4Y4qzo01GLO4B6J5/oZeOChokH
KXeNll9aKx8x35k6yqFit/6SQ2Pvb2cW7oggfkQAgm9z5Xx0ReEepMLroW8wHl+iMGjfyTKjOhD/
lCOgoI14m/wsjFgfnMauuMg6vKlqN/EFBB89i9PIoUq7QRIgCxN17uQnknhDpHJAPnxBufDHwY5k
6TbwG4yJi6Kr4iKocbMVoNW7arkNu+DNq609t4pu0xuKUm/NEaXzFWq5iQO7iP3G+TxT0cRuI+6U
XYkkx5WzaueTB+2nqWSbQnxlp8ay95Lpcy2m16GaHnNj3uuGjUhazCC1fV9HWvQinlu7SkrR7Ye5
08nQlE99ge5ugeS7dibXzLhOXA7TDkqn3rTcUZCeQDuWeu9QQFkiYF9xPUDd1he3zTelT7aeLQlo
+iqqB0ajWTr3YlGv0i6OnT2e9UIhX3XqkJnuRBBNoVW/RJLUezawd2H4Psz51nfRkfnMPIxmZbWs
T4X290TpQ9+6H9r39yXhF4uoV2XkJ1je+FCX8eQ67dHp9bkfytVtma6yGrZTVpzc3k/UMu7qUO/t
1t14s7treH7gLoE0OzvHWo7H0ZBbpFPkpl/AxcNTGgMMeMZdNkgKXdAhISmxBIc2pHegoI5lMezc
cu7xDqt+LwZ6cUl7Rmt7UfXw2RRzgEme3httnrhqjtkkzn3uJjmf7xSRBL15/lRKhIzG4omXwdbj
elf5BdvPntr6w4gRPujOjoJQgOzZ1RV8D8rnWllDFnHSxHnf7oeQPJNplDHYb5mEtL8bcw8z8sAB
NaMnUUv1jLjALgCqUs9dQtGtxD1TZ0f6rwuDNmCNaReOG1kML6rtd8YjXxfDMRAUNF1M9lzgW7gg
/yzIltzRoptjyUZJIQd4OPsmxzlYbrWkrS+PIe9Pbljup67vIgtDMLJJF3eQxwxwcCQ0P4+ZW6Wg
+9+HomOR1cobi4TbRoc3LZht4PXTpmoIABvPfizs/gQd6skprRs7E/fLegkd5r3X9oSnkacOHdFL
WE8TGS4OOBBSTkmOIEnazuMbtWBvFjUv8JzACexwLVrb26ieF9uGVa+145znsOqirmh3pRbbUoGy
Nb79iK8RPDRglvNcJJ6xrgiU2DF1HwLep0WxvAsZ3C9ex08KuB3at+yurtTZUiSLskam7uK92rW/
DWgWuc7o7UTnuymgd7orJxfPMv8o505EgdIEA8N8Au4FCsauvQ0pnG3QgJjBTVHHFAxK5HOyM1X/
bMbivlHLae75Q9aanbLgX04je1RjscV7fuCzfOqafADgf1uC6BNkiKnwoSJX09Zz9WXs+ENBFpMw
f9hZctl2C9u3xr8u0t61PMRHY1+sBpx+PszXoaf3CPaxlIArTFg7ltFgj9fa8c9Got6n0lhUpogP
FY9eVXQ4/P3gSFWG1hlD3iZvfGjwSwAIbMDTuZwgmqE5bPGW5rlG0gH9HVfhLas8FlXdoNLFKpqI
wgGFYwt9Zeir94Hj4/SV2KDCeFHOHDupqYwBRcfetxQWmvcJAalID+FwQOdcRY01f1Wt2Xt4iqNy
VmXsiNaO/GJCIy7l06A5TcjstwnSr5DcEJ6xogoiZ9xW/DTaXX1Rjd09CzuAKOQtrbXp2ehdzaiW
g2RL7USjdFkBE8W103pcZAJ6/TQ67QF0yy1l5cadRBpQTJFNdseb9tg3CDJB4kH/zGB72s1zNqLf
DfiYtuBEo6Gctr2bwRvouvdBwIYo2YubOedhnFFkiqTqh00HXKdwzENN4JWzIH/DyfpInHaXjfmF
eNNHJpxjteBjCnNYI4WjoRY5z/XiHeGgnrNCOrGPiJyQ5QZho8PQo0S3c88Sv80ugngJqP67Dosz
YHks+5r7J28qdhgkI17W+yocI0+TEnFg6Ki+cK7hWN0DK4LSOc9JpdSDkqOKK6s8kmLcE2KdQTjE
aIW2dGr2CONurTLf86A58rp78l3nKJWN2BEqrcM2Jas/ZwL2W8mvU4ZOYfbqdMnytDVF7DXdR5WH
J0up2OCmm6b+2Ifys+8QHiHLvdekuGupSKEgxqEr5sip/F0+kXuzCsUdOLYYWeZoDmCAt+MmG3gS
ZgI2FKSSTti7qqfPA3NjKZCy9iyE8AKonBnuR4xLDU738lkij8JtD4m0lqZh2UMB4HJv1eIRLs/W
YcstQVowKjv7YR7tjSPqJw1FKHEqutpkxZes1UM8IXuTdrlzg4ntJuPO60Q6Py1EvYqwWxEW+xCy
8IbzDCTi8lHP3k1X23jHo0QkjuJm4Xr04pEFGIjm2k6z2WcXbeuDcvtUSwZRviNX6Von2U1LbHFn
Y6AaRpmX21BsSbXLZ//FG8V8H+KkSUo5naaJ9YmF+W3ylmtt+S+UimxTF80zgS8Ai6zflGaQsTJ4
1ywDfrwePQ3id4MO8x1vMVF6dXmugZeV3FouFm2Ptc0bpGMwdDdt9XWwJ3hzc6MSF3+ayzmxh+ae
FxMCq0u1HwMqornrgTutVdtznycbD5ogjCftFCLOMYNgLIubEvkcV7j5PsgXc6qz1kdGwnkCBoLg
bptdQyNfSFG7u/Vx9x24kaFCNS/bwXlheXevavdqj1NxCh0F8aTe85o8UI6ORnskKsZ+y4lOSFWe
Gk62fQCKjXvV155pibOcptxhD2WnD0UnjuXgo88c4bnR7hle3F04AZBWdXAjbH5TBWIjA3eG+iIe
Gxm+uJNzB+JQHz1HqLTnvt7Qzn1ZqnAfGtuKBSnUVg34wVZjb7RddAmy3sNOSIjdRtWojtytiHOP
UD7FGNG2lpsyObtUxKXjWym1i2wR8Q8T3+1vJvqPoYBVNvzDWl+ptdUUAtSLGh/CzP9lgKIFIROl
qriIuo6UOhuQ7qF7/99f5Gf//vuLAMRFoNyBFbVOcT8wvWU2tY5lTHEh895SZwL72XIfuvHhv78M
JtE/vxdEGzxsrnCx8GD9NX54mYyQEFMAQeNOv476k+X8r9j2n39+QF2bUEAI+Lh+/axMOPta+5W8
qBE32o5lcA5/n77/4lr8xe8fMPBm2Gvqg7R2Vgn4h9+fBypbHK+pLgxzh3frhaf//vN/Dp3//8vw
w+fzy7V2/dLOLRylwHS2VhWX9qYNEkhh04cUyT9+qdVwBPyB7Dtwt18uhWScLOOiywsRu76NoUTV
sNHdGGXYqn8DexBB+utcy59hz2/7nX+/LOst/sPHRuwCgWlfSlBUcQiTD3NXl+BMnYfNP39TP17/
X96UCkSoe/bbCzlFovJoyjeoI2sprv/HvfYXzyXWo8IjZqiOq1H885tyPEU1Cq+6GCRb5dswpV72
+b+/nb+63X54iV9vt8V46JU8oi6KvYnsxbX+D7czthu42MEAj8T7pt38cF1EI73Otai6CJyAThDJ
+f9weGG9B7glqD+gIBGP+unKK0uhv/dtfVmCtzG46QEDku5/nF1/8dDgocT3piGItbKev9rnOVh9
rC+oLi0avzlmTWR7V1i+uk4W53/cyX/xWgwBMNg8AYNp9Os5CbYPIpvw1CVfZ+q00HE+p0ETafRY
d98u/r80HMEF+v3Q/TP1W7190e2fBc/1b/0geALtRUIAZzG+dn719H5wAoECuz7A219CfHD74JU5
KAvfmI0flyJhAb0NJAgLXX7DQIJ/InmCOsZN/UfFBgy30hyAqpARwqIlb92f+uNxp2tvKb05Mxci
nQdEPO6p8Y6Va67lVItoHFxIHgSbNWx3J+ZZJFVZZuiI/THupj6LSFPDlZrhvyFrf0fcZYnzOrCj
0e2g/S/2tSMNNuqE+Fkq0IDrRG3vQw6UCc7UfRsoES1Ks8jW09lqiAY6JuoYIIAVW5OXJUEHXksO
1IrabmxuiKoe8PUa3jkYFnUSFPq+9uHL8wzzPZXB1jUI4DFQTbGf55A0WvWQK4Z0noX0C8Gg12Bu
zljHU1MikB+41QfWtjxi5YUVSerttGPdW0sJvq4x52VNty8ef4dkLKLG68F96DFV7V7YJ5s7X4b8
rXXiLuQ7rTOejJiCo2bpMazPpUyUnMqELqZO61m8oX7V0dS1X/puPGBuHKOQ4A21Q7Y3LbudkaqJ
ZpVay6nv7MPksldP+BhVhBuFs0cSBJ1OLW9viwrGpDswLK+a7AvCMBLaTp/asCnjzgkghnJu9sGK
hiE8c0f56F5DK/8MN+dqFEOOXToyLuzc3tBGo1cMBswfPsDuOtNdKstWJFk5ov0n7ASkbT/3SDhA
YE0EU3dTaQDgLr2dNg427zCDOKcfYiUKesEm5U033POOOHFmh0/c0gJqbr1tiDiYMnhww+XNtrja
VnMZdYCAxZCHiaZ5GdVYhRHVbg31eFg16+bg2HgvS9tsQ6dCy5rZitzWbqfu4U/jhVsDuQ5Htdt+
hi0MTXCwbnGDv4W60FEruDrkpf3cNsO5xSqPxGIudlONzsc09h9DMM8b0001jCCW7bBd473CIxpp
/CpxicznBq39vUe5OVaMHAYhXuolPC6NjTSjzrd6tE4NZInIEEY2HUfGR5fZiIHJ3HRiweMzPOQ8
e2/ygO2Ug30mwqru0Y2hxNP+qXGCfdl0fMc8jAYzZgUN1GXDjNr73PvU5iQ/DN0KK4rlHj9zPMGI
xzAYag2g1G/jb6ssBihgGztcL97kzDHxMz+xM/fJaNHGwwKOyRilDob2ExSQIMAAiAFVGtnFy2T0
MyfAGFWet7fC98JodJpkUrO9YX31iAyQgIeZY3uAsCNDdYELVKs0k6LHJoOywNPe0b0pdA5R2M+T
lvZ7sjCybxiGLTuTWx+/CzR9Z45wLHYRQwLeiG6JdIN4WNfshOUnQi8dfMMOSV1p2XjS3C7Gposp
mt08AIaK4I9rY1cJ/sVyvVsBzkub4ZM9iaPX9gftILLktvdDgHjcYqot8NkyUlW2RKq0b4aphwbs
KXQK+W3l9teSj4+snM6mWp5NBtapxKa1qNLiEduIDu5EdgBzHzr0oVHTK9i5WjtRiIm3BBUZkFZv
qpkZRH+mc9Y611KhqE6jDfGmPtC+V9Fs+q+ul70W3L5g5dMNNlTdggmD1z+Y9yzzIAKUy7PMwdq7
DWMp1nG8mipATH+Gk9vR+kHn7nGFk9NB4q6BCjKXj04vvF0BXcvZ4pu/aJprLNPxCv1bj/1vCV+/
YufvS/hWfij1FxX8Z5aH4SuZUB/X0Ly9FuPfKzhFOgfYOgOX6VG4k39EacP/4JuOAZdjHMaukG9G
53fXEpgPw87MdXHmOigjaPMPXEvb/7nzRglHP4lGb12djKTr+uN+KuFY1hHQqWfhhVbtHAkPFAJQ
SM3V1bFUTlMvxzKI19Ch7RUopfIP1VCoeBnCky/CU6vCMgaw8l42+jA32GdEO76ZXRfPdu1AI40h
uu3V5DRpP4TXko1f13USIERw2PZ0awU05qZIuNdsCa+3TDk3U23trEK+ey3Cq6svz8V4LeH+RH7X
JhxGZkAQzhCijpx2jItQg4gQM3yg8IYuJCkoEE34EjBWyLybbTTIyrLfBbj3CWfhvmXBc+0Ge6hz
n5F9PbMQG1LSDO/tJUT5ApeAiuLpj3ZmkKyg3AkQnlFJdHNZLGszIQcf08HeNZ2GcAbGaOyIgL1i
tWldBWqPOQrvFrhqYvTyVJnhjDV9WDwmDAWW77YpLRzshqFb4fR805YO4jAtD1Ix2m+sbI+lKQdw
MQHCoLp/qabsFeTpfa70BctSoO+BVdpUBtknRdR+BNgYhYWZsFiu8hIyukOkK6a3QNedpMdaqRiL
3061mK+VB3ibA5XPqfgyVwOLCMMmOiz+emTStYFXzG+K9qhEtv21o9bBHvo9CMaTaJFcykLYCAO2
P+3CsR/BSmBd4+xaVjT53Wkp5UdlqfEZ1/PYea9LhX0oiF/BGr2VjTigvtyPOMFjSPtIZNp22OQn
jGP9kiqwNTzCGhWd+xHI/bC5mbgX7KVhLvCxId8WgE0mYPRNeKaBlR+QJYaFDj96j8+lJqkLEW6L
eSW8z7BoIARDZk8qavTi7wYYb9u69VyZyH7iW3vWgE0C1dJTIGX/xLTPdujYyPO/Ew35BpvjePj7
4xAbwrqPvzgO8Zd+H2hsZBV9H4s9V+Sc+j8ONBT/aT0n8Q+CsgjqfN8s4JL/YJaBOBj+Aa//cRyu
G0WxSwRDPZTD0P0nx+E3TOSXiWbVinAiOpitXKyd/Pk4HOrJYFVb7lzM5BL0OsN+nN0msYXjIAnW
bEBk9Zgm5ieYLk5iuPu5ddipQ6lNvHUbk5iw+aJr82M3ahLhCT1bgrQRvJw+mcxwM7W+Sdyw1bHW
/fscqpe84ClWhN2VrtiquTsgAHXX1Bh5RAOzN6ypwQNJT6rCsjNuBZ9MGepYQmzAnqTsE7D5Jw9L
4NB+LvD8p+ricedij34a4kQOZLMvvcXZLwNCwH1JWTzk0xYLY5GLr79iNcpdP3LvoDgSKHP7zpA3
Cs3yOGGZSlRSZGscLFwDfFmpZIUHyQRuKqjzx9HuX8tpcGMEe3a01yqqQYJHVe4ggY/2E2aoc1NW
zQEAAkwspFyaAabAZGk0kJJdiqrFoMabi/CG+jBVHZYbFRiCggoYZ5m3PA7hdd4YXxMQBz1wjcZd
voJ6LG8GN/i8FPhwYQHkV4rVSVFu2g9YEeFZaLn3Qgs9Ea1nsBaGXUwxIUQUjLhqsMOjFnBdXFYT
HGIO0Qwdqr8FMc/hFmLzlDsF/Eq4Y2+XGhGZBsAZZkqHR1iUqKOiQiSIzFLsHGcCiQbPeivydQXq
goWe/oSFW+j6sLcrsxN7mpFkdE2xgeWfbdzRkWlbdVhZoJ0qVY44weo8Lp24lMredzNfkqJiXyGq
+5EIKje1TOEkcz+L1M6CeQtMW6ZE5AwfhA0hpm3CbSdAfYup7bchhYVc8RY7TbEw7g5pR7btay9P
sdQBrBDJsmRYs0jGcayrhOYbVQveaTP58DQQndswbnWxmEcWzZrXqYU1dNgrVRYH0DDjltP8Yabm
tu+JSnOLzZHu6nctYREVuY/Vh0hCHeoQnSlHzgrUwvoRFVS9jsYTnxR27kUmD9Vu7rGnmE5cR+gk
7IuHIEKU1wv4SnzuKOZWv2MjSlw+utAEgr74gu0SyE2JIEsHXlk70olN78m1WGPowPatqAJQFIH7
qiLMaKD3xciStq5k7AOJui72dBVTf+evaShDBYgWSeUNtnZ2Oyx2+9qp5R0cUL6B8dVHMpTtucCS
rthZcZq28ff+PGYn3wqGLcuUe0et/hH9RmclpOunbJvTCQxh0defR/xWoBZQJ3MhI8PyZmsV84Nt
wZ+bEJeIyRAewBz72FIw21GI0oqcKxBb7HnFkkqeFkpZgBvIrnCcT8NaK7Gj6KFC8QyEugWVGFtW
cDbea4YS22t/eIZK8DGi+E5rFVZrPWZrZe6/1ei1Whdr3eYlOVG8Wl7nx2FwvzZYaBjbizyTkdjR
EAaPy9oFFGJhUWeqLybAklrssNxrtAzY+31C6gMLVNduQq19RVnYWNo35IiLzBrO+dp/tPjf1dqR
BMbxNvPapdiwDnqL30u0LwRtDBounIKkHsDztscCrc5Uwtg3a/czGM03dm9jT5KDJb7okIa1VwrW
rkmifTJsfOoB/SWB5d6GU8DQ4aDPQm4J/+fae/VrF1ajHUMkbofdZyoesKZErB1bsfZuYu3irClM
uqn9MGt/5w1FgvWj/gs6hspLNdpAMO2fNdpC1XvP6FG9fYGGUbTLOxa1Yh2pnnZ403KTr91lZS+J
9IObHG1nvvafFI1oGSJMM2h7ZzX+bh6bRKw9q1WMVyweP0lqIGygre3AgwVoc220u5bbbDnWkOKa
xpO08WfvLWdFEZui/2qKAM3T2KVwvfdd5eZpDybYcssrVkdaqAV9LJ35mHfyWoVWYhf5g8Qu7NxX
4G+kSvqqeJBFF2NvHzrgzARRhc01GVbjFivAg5bRhDSG6PeRrbA36hi4b8OoYZCJShlzX92RFRD/
tzf61hut6ujf90bnt7aotYFv8WuAb/1739sjbFfCQnHMgvgqOmi76/T5+7SI70IIPSBHyF5g+zdM
mu9867elbQB3fhCJv3dHAXLROONDyv4fe+exHLmRdtFXmReAAjYBbMsbVhW92yDIbjYS3tun/0+y
R1K3zPyhvRYTmgiJLLKIyvzMvefSQ6JyFf+oOjJUM/jTvJfFHagYlg8WlCdSTH+ujtBTJ6Y7m/KS
6bMdnKRJrT8auvT2Tp3n4XWhDc5h7irxKiSY452v5VWyGEZteAGD2Dz60i7ufD9yZoDh3VBsrNxt
nxqrMwJonKmLQDuGMBBpj6NpxVgkZnQSppkgTxLXnodan+FI14v7MJ3ehnB+w0TI2TXeisYDg4sY
0Eyz6GJOjENB/cDnDeiBaoDQMeqmBilPWPfNMtSnt6SqsTUM9YDzLGwWjcEhOGEZAZHrbdIcUZCW
c9I4HYzMsK5B6ge7MhO3du/cZoi0VglA7ikYz7NXo/DojTd4KHelZb5KL0YkFKD9yHOupNCc560X
+RyifYGi0nZuY+Fe9V7zbGYJCsY8vcpqzi6ZdIsqML2V3TADtxnXLmB7estyTm7xwTxQAZUnCxg+
Q2/atdrLR05eYJv0fDRtoO8Y4Y5EAORhepVjBJ7d8tkSmA8bQy9XnV5/zE09Ab+lePGabpc28VZH
1W4krP9dNAST5i9tu0V4YZqbrqBSkggu+aGMYRn2HoOknP9nMxtb5H7xmMvkq+snN54tV16ZfoFE
fy8KhZtrY/sqcIJ9VGo3UanGAo4rl0EG3CLsxFWo5M5Fat9KIe4RaTAudNyvosiPM4iscoLKk+ge
M/Ccy6Xs1SA4HI9AfVjeDnjginybRtq4MJUYmPt70VX5YyyadCVQN2JtjNaiRIDhsGjQBgwBUvc2
duX2586j+HCnxmsXtb1vE8G4UoE/6qS7mfteYP2R53zGl1lpOu7TqXsAGvEe4HrYCYlrwbH1DcOL
J/hnz24QLs3aeEuzkMW1+jH0/labvE0VzJc0iRh2mhs/uOZhLc52312lfnKNnPU1Yui9yZOZpffI
WBUVY7vXy+nYCh47w4mvChO7DSUydjzvCTi5toDBGi0NuoulVkcbpClnp8wull8fwQ5d9w27wLav
+0Xo2hvNql6pCVbSMR8yaouFKNxD2YvLpBTSeCWOmh9swr4q8D01917svgttPNWi+4DadN+07h5q
41XcJxhGpAsHBaY+s2v+Dni6v8IG4SM2h+hNx7RDOCIu/PIIqgf5XNXYRw09u5iBcV059qbyk3dN
C5Ze4UOMlQn1tJVdt7gzrnJLHt2szZ/w79bMWZGeoLBNj1raga5WOuYAsf/SzQBjBSjW2im9MZCI
plrBnpuB1EL69s735qs0b0+dkSzTzn6BnfvWWtBoHV50MG9iNG1p4FP/tJcm1bdkDewsqLKbKMCC
xORukdto86YEuZBJi4XvDj2YPMAat46RUbP3GBNIIiOyIg6InDrbtOaVD/l5Z8TeE8k57FAKGLeL
KoobEJR6u80afvowL5DMj7apOMoHjcr8LPlggdOPnEuO8I0qpOaP07rj01zl4S1zl/QY27GzbXkL
1kOqpTsDcdiiLA2X2roJWKb1opW7VrNgKZiSl55K3dhoMbPrf6/p7yMMFD9/f00TVfPWf9RvzZ/v
aYVc+vWeJpiIyF/0SmgHeQhtVrY/3NO+77B6/TRhfg5Uf72oCSBV0aO6YBDMDf8jjYmAWTVx0LGw
qIgb/Z9d1NbP23umup6lZiW8kk6uAIb7ny/qPPTo93qvuOh6Gu5K2nsZAgOqreHYuf20HDqzuRo7
s9ha+sxqYOyu89imk82z9xr+HTa1Zsfqw1n7Vj0tw0GgkLNltaSHnllIDSbaP08DICZm5Hxjdl2F
/pNEwrrsMdIvR30+wiS/YvS246NPZ6zJbTWVTwEH8HKuvNNcT3B8iqTfwdQ9hFlcLRKb4sGLlDjH
PTEYfwgdDNNt5KH/dJNVXkcshOs3E1gZ6Ofwsc+ccjFgXQSKjzsj6eeTyN2nMYCdjvjr2U+LJzH2
Rz8xrgY3vdccnHTYEJlCyoe8DugJDOIOguHozvYtl/UGgfeLGY1LpqQbds8uyKryqnSLZxNbjyW5
qKQzbvuRvRAPxVubstHJR9ghmosXEMfHAi5turLqUZAHUE1rapZu3ff9pE7OSz2MOLRDa1dIhJos
E8+DgjOG82BscelvYlGxI+1ROCYg8DRzvrYC8cVsy/ukmzaDRz9khfn1aIvNJDMoLSjKA7e5Fp37
IKsAXok9PYsIelQ0OOWKYRtnYh5RZkVTs8ohirT1fFOPuYsWOT2MRvohZ4yhXms+cLsZoMLNYCkK
/xL3rnlOA3c3euFddUYEKVhME7NxFBOcBqCKm8ilErErsNjtHK9bq+23dec9c6XD36pysCxFtAX9
lS+SrPiSuKJYxS0AJsxPm9QDeq0z92qnXTRBiQXU917X1gc8zg8GZ+EurOyzAobjAA4JeemzdTyl
9qPlJGQjTPg83CCCm1EdMkfsU8eAwi83tRey1SSgYT2No7k0QzFtvU6honKna9dDr6qR4as/J0O9
dHT8JDor4rmym4XL0tjWKhPoIDZVoVaTJqTN3HOpx2xvZ6rNc1GPb0QHoGxHitxka10BhXl0lf3g
qbB6aynVDpsJTYXvIBzXidsBLAaPTcfN1rtNGetZTnrrIwoWZmAtCLjZ5764CvrGWGRqe56GMZ8L
F4KAh9phY6ktO6pJfaOpzbsOg/w4sYwHpvjFUtv5ljU9XBvAQgRC7EsckwvZDtQ9M8tWm/Uw6rdL
UfBJidXuHwrxdYAYQGa6viqVPkAgFEhz8doiHGiKm8i2saigKfC8LNiPojiPOMkWPboD3yy+Yshk
8Y0iIbOzcu2yq1hpo5asSiVcGBwl16iccCVnbcteOZ5fTaV0qK/iGHDMgIwI7GMV8Bj0WfAGvahf
mFN1CpRoIkc9MSKnzVEGMlKSj1qYfCB+NhdmXvBso71ofDhxSozBPgpqQ5reEyzzzVeKjXDkubOU
iKPIw7U9zhW8UjbEfVjlrBpG52Qg/9DwQZ9xtmkqSgXlvD8Hq1HpRbogKGgO0JDIoT/1dYKBWelL
Uj+6kzVPs2OHxh71sUQ9zV+c+AZCkKb5Br8pewtFqGyyfsb1ot1aVd0xiOODJWcYmlpPGQr3ONhg
eopXRdXaO6gXTE/lISHtBLpDdZPZaNQR0OiBfh+o/axh9odAbWyteR6jRVPUdQzDxKifE99phrUA
SBQvm0458npAyW2P+hvpQZCDzY4a4BuhtL+LNv/d8upsRf9HTQD44q8ad/VVvxUExJL6cFwt2/z0
mf685kUbpdOyo5D6BKf/1rn7v7AY5l+honJY+P5I3oHciIyQRgim8j8n76jS4ufO3QXlzKL5k87s
oRn7uSAAshoSvRHYl2Qu3Wk/iyKz3ntptcGFWAcLj7lGjBA6YjVi6uTdpIzoibBLro0OxEIgIrwo
VbLu/NZeNU6m73R2eStvxNje4XA3lNWdWeHbXKHDzyzZrPD7HOmNMMbjkI+VU15Z5ktlnqf7hcqr
DPWRz0IEMmMAagG7/aCM91JZ8KVoj6go/YXhRk89Lv0It75Qtv1iXOX9vI0qIJO9MvYnOPxn9Bmg
sfYcgJhXFATAVDgAX4EBIggBflzfCAEyoGMIizDDvIZfQAegwAKEqOQrM0gL8ouqbxb0AXzwLf4S
l6bjg0vbWU1Ote41gAUp9qvRtJ/KPETCo6AGdkNqFZVVuUxKugCroNDC61YvjX48WnMUr00ICZ0X
0FL3RwNyggFBoYGk0FjNuoaswGC6p8nCm4l34KNlKpcM6FDomFgy4dLFPusMQI3DgJ7HxdfPZM9T
I740LXcZM7+xiO9TZoBtm9+UtX6UzAZZs5P94WQ3PX/STo0P9TGq822rGd7GE+XBcLL3vJHIudzg
ivH0FUk8OYAjteSnWK1vjJHVxWtcp6G5bj4lAdrcTuU2MxgXhjpbU4DxAB1En3wxHYs5N9OUyOy+
wEfauKYf4h3hX0fd8MGV2Cxj6ECLDHNnO8mznQfemspx2lSt/DZozChjb3phJHbfzuON0RuvVl0e
cNm+RH3sL4XTWGs3tL9G5ngY9HB6TSWzJQzIJKThd/JU9+voaIOc+oaYkh1dunbVudX9FPFrQfmn
Iwu9SzAyJ4HoiNbGWXUSL5mTCH/diknfze43Iy5sQnfax74lcQXHrblKSQBKQvjBjhYR6EU0Wmk4
qxpK0VIr5JcwqWY6z2neeAPqw3gKt6bWvIDa3hV8bKB4MKchAYlRf6OYfgiDDdJFxsGmQa216ynQ
nutWP4gSx1lsxg9OIEPyk6BYNwECKALZyAvZpW7iLgV2kJzTf4ESGDSUh09NJN8aiV00s9/6hl1F
ivgqmeIzkrRjCciJ5t8/5kMKctmy+mWMcqmWsObith+21UjMCBYhY2H66VuOFWzG0Zilzl5vwhcr
scq7WROUt9IjhM10Hti/343oKeF/PFfSjval9PfziN009MojxJFnwVqE8eWdhmlWWt5F85sbqYuP
0p7PWabcjzybswB8VBp5tyLJ7bbvWSsQfhN20baOpb9ORj9f8OkRr03f7JErdLeBh78Gg9SG1d1R
YB37dyr9HQ+noPV/f7Xd/TcT+8/drvq6Hy43VuHwhhzG0iZ6oR+6XQtCnK8jcVJjYeRMv42lVTYr
g2dHF7/Htv53LM0+X6W1Im+y0SFzJ/0jGTKzjj9ebjaRAnTOOkopAt7/qGFieNx0SS2K67HW3U3e
2wOpHwhhQNrupMvUrp8URYeN14VfQj8SXIUyUGAvxLSuF88RY7ATIbNsRCyruos7Ye8cApnOQxKU
X0tK7K0Lse5Kpi7OXrXjXJa+xiwtM7TxumGve6nIvHvRdNFujAA195IdMGbNPMg5Okr/q6fJW7Lm
nEtoGNoB5MlAABCwO7I0nZcUWvfdYDokZTUSdWencKBup9HLOFOBhE8HZmA15kcBevLZ0dN8FzqN
v4JR1rz1FBAEfoDfcWuuFjceMIHKvrwZcH6lHc7+MArLVT8Ydn+RGi6vLwWbRfto4PCZxk1bJN3W
mNtO+7BDP5ZnvKwclaQH5fXFVQkrbmiM8k5CSlmwYGyA4bXW7A5nj30XVIPQlqMNngGfIGrJvhy0
FeLXNDoKLWd2FXUAYXCrV6D4B3/jV8H4IobUekOzDE1YG0W+CVkiH6ZOTHeoJuY30uEcpJj4wY7h
ADgURaS/Dco+fOdJipZ6Ps9vQSPnD4y2z7VWbfIwOmguCQOZIZBjOXW5I8UoNMhX61idT552DA2E
TEkxliun9ZNxMWYF6XvREEabJmstepqetqJMqicodekeVN+DlVQS/Gk1MT5m6ux4dbsTcSPuPFlm
+1Zr/YdSr8R59Csd3KgacLIPKe4JTyCMCA3mu+YO2sFKW4bYCDNiz9BWddszQNC0ZmS+V1XtClxA
+c3VimY/lUF+S8QXfmJ9Fq/hbLir2XfjBwYa8ZXLYPDUaFX8gh6gQOSOmbtJ5uJl7kbtyMMLcdDN
h0sc1sEzHpHhIefmXrO3jO40vI/Xsk8R/2J+Ya5u2z0rjwZTMVerbNfN6DQo6ya4OyFT853Zmx++
YNKeWgd3HKwbPMxYMPVCGB9lUc6bKoIj5JeNmvpyC/07evw+ekRN9Pdn8eoj/c8ZGOLHnw9jxoG/
H8bWL+AgGSKiJf3MdvrhMLZ/McEK0oT8inT/tdP4PIw5pXUwOIStc07+hsGxoSp7eDhgfApLLRf/
kaCUW+KnPgM2HbNPn2OYTCdO9z8MHtugi5t0zs3rnIW5nkRXbogrvp/WP7wz199Xjj9aRc3PhuX3
VSS/CfeHcrEwZyUD2fnjhJN01AT9SDJcOw7VVBvqnr125u6QRaSVFWaYkAzpshVvi4s/dVdVUj64
Zk12INL95UDG6DqpjeTY146/gq5IUPDUIq50SoWjr5+HpiyXmScpuJXwSTbpXckLLs0yvca2SHni
AtnxKhNeAZl6fPYyJarxjlU2Ln0kX8vcaFgT8GGyrCTfBKLfgJVuVx1A+FXDCVS69pPmuTjXO3/B
r/nMwVssmS3eMdu41bLxrGk4siMdV/SAkIBs7T1pe+chyEgE4Xyi5Eo5fvt+ZaqCruvbG0L7NoPd
Pfle/WGG7muYTSxeGUQknUu3MEXXTh0chZtFG4IBdsIP6m0ja/5Cdf1QiHAXeXa4TKU8IrR7hxWU
bPqM3aHoufJSdXpqBEksAB1BM2jnVyPLFNczvtgeyM4pJY6ztFaVSF4713iom/BUjFm3KIzp1q26
LZzZHUM9tllMz/hBLfALhCEvpencaROpNVlbeUvXf/VbhmtktHQVxJ6ms5MFDwQsCcvl7wc9w+2+
eRNjTl04J7DQlKs5CrWKps8gicQciHOc6DIHabArM9Jr0hPjjWVx6Wb2CcN7CP3H3vo9761UN4wm
nB66kf8KnHaHlu+2yOdpZc3NI5veGYUyCyqrTe+aodsTntOvakv/opMyvwiH6TGNImc7WvPFHPFd
NDLuCf2rvxqp+dUEXrJMRmNXpP4eY5ZBZzdskfLdZMQiA7MWV64150uR5l/muHyWbiOXmSju6ani
FSvLZDd01hb92tK0gg1KHTL9eMTwgtiDXHMxV285rJN6M3satBRHjMiG9RFYDIkpNSmS9oARXneH
jeENSpZTj4c0dTAiTMZSDxhp2dbXQff3QFA2/cyEk+T1sn9MHEuJhwZDZ00VqVZpNCLIPebeYkRn
oMNr1fzWq96YDNwaifZBscfWlGq/4GlELtZD6m1ajCfDqhjYJCJPRvg29FdeTaONBZvvm6DUafpI
haYNLyJ2m/UYlqcw0gNcrCPTCBWiifc+Ju2gbXbD0D6TEc30zY+XfayTNVqcEsFH1sqTa/oTgHja
fk7R+clQyvU8Tigy4SGIgeTneGAvP3bGLam227FoPxJmBiSjIJ4S5fNQr3GH7aWNALvVdjCq3lB6
v84OGVPwsRtMkK+pfdcPDTK27lAWIMdhHcTwrMwNs1R2kVRpZFkPLBh7k6wcQ9L7zmW/tdy43egG
Qsqwt1/V7h6WxbAKNGQF9lBuOyO/TAUSiSJGUDfZj22reyeY53Z1r8C5oWfXwa4wM4zE/88x+rOB
T52iXBdKZ0LRzPQKvvNP6v+maSwbrMN0PZDGs7C3wWG8K077GKLOW/5UrpM9oqVFcKSv7Vbx1tr/
79dXatqfD3Fe3ne5d1C1Oki4fn75OuicXhPdfN27b2Ww9yl0/fFVK/6/KK+/eh1TN5AX49C1GbT9
/Dp+y50VEWZ6bVDEj80iTT/8cE8x+71y+Vv798+33/e3k/eTOxBrhotj7OfXqVgeOJ0h9WvhHGuB
CZxxsv30v98z+6/+Zj/+Mn94kU7qemMSsnHdb5pHLGfrfqd/9VBgLIpTxjO2uIXTucg25u7h7K3S
xbk/RZvHZh2sb+LDsNiBLr1qV/yHq2LD/9aP//vnM//ggf98pmxTR8TtgA9wPpNifvBapwSyMyDS
jWv0yufgBvLiyXgKD2SYM2ZfTYvDi7Edl+dqM+wcZ5kdGZndIOTcEIyy/PxR/p1XW7znf19I3r3l
/zkUb1UX/YU3SX3pb309fTjWXRbY5udomH/12xYbkrwnYPsygP6vEO33LbZFNYtGjQ8UY70fszbI
CPWI/vn8ZmQL/SOg4neL+e+ng1pis2NHgk9uB0t2ir2fP02I9NlYEeZ8mVihGOXCJL8HxhhYXLaR
Mr9EtjhF0pVn4dTbYBbOTTWBSJ1D/dYK7Nuk7j6IBasW4yjhpfVH6XLFWd1VgghD6yEs5QaQeYM8
OTVTtcGml9YVtzr44C47m7a3CUL3qpEkU07ajYjlgzvlT87YLrmYPjybfbrhIVzJadmLldQ0xBzS
2lOWPtJKodTUb9Donju4foDTzuyoOd7EeAUPceuwbR2i8MEBQQVJHZtyPbzDrj8FfrJpa+vVCtNt
37aHPBCb1vKPvV2dAynPfgHmF1lcKMtzB8nGKuAbjuaTazs7aRhnH0+thrc1Jhan0GjwOn9VUYlK
vX/BJ3QtZXeiaFkCjd+isl5DZgPuyknvf2tAza0zqEGw3jrinL034iHQh9tPcdzvNSYOBHfcynDe
ajFe7pIEjbImj4TLMRijCxquXeKC/IvFA8HMu3lqbjOvfc9NSlkvP8uguupFtvus0utpR6YyswWa
37g8E7cCgcknA8m+dSXqPU8rd0Qf5bSgw4nqlaD2qTpWQfJmFfatX4qlJM90kXYuMuP2KjSz1UxU
UU0tBWTrNvZHUuODRzubHhjdrgXisUUFrCpQWDQZ6BW6ouoUeemwEUMFuW/qglURiTe3B3BYViNJ
IA4UprF8AkksUeKN73TG+MPrGhre+nuAS9B4dbyL/Vzu288FHRZ2lnXxp98Sj2208RFLrfqRnh7a
ybaoulQFzt0mCOgPuUCC2FRQsIzUsE4QkXpI9JjF0xEbsk8O+iqw5vjWNMxtYtJww4HbxfQV0IR8
DKARpWmOunDJINVdxCUe6hb29rJzB3sHbBKoMiOVyCamsfUlQGoLc/LcteWyKFnUDmHzwExDXyeC
LXWcmjeRN0GSIOiFEfQCG8W9Bk+6wADvTfZlNp2NXSdkNybDSgWQsCn4iGb75MXtk0YqY3yquxZq
8kRCe1UiobMEsvasuDGL7HHo2mhV9kTNBQ6Eu1kCO41L+z2kAcBar2DTTQUm2/bP5I2AMBvjr77W
ITC3u2zZ9+Q74l75YJb2mk/mA03fBz8/UsOC5OxpshBdlJTjMiPYxsljpu0JdLi+NHZlWq8sL7r0
Mjt42fBojxNgaf0Q+94Bm2K0GTVQe6F8JFByTRxldZ6CodpkPbIOs9PEqUgDEDtYFUI/adbmp6/O
Rp1KTOHzEM+8y1X2VSu8YgEaUaHeSFeIk3EfaOk2VrkL/ty/zCqJISWSIdLdd0lEw2ijKq9VasNM
NJWlchxcme5CVgILs4J4WGIsqSxzGxD+0KoUCI6pZdWgSw+pWzqCIqbQ4ptr9pdIZUgIP14gWnvX
unrVqJSJMdDhyQZPlsqfmHz88GzylraKplAZFXbLYHSuy3s5WORXwGdYQxylsQiCZ0ulXARl4PJ8
WZsq0aqF7w98RFUqRlHwsawHD8gWkRkZluttr1I0OofwiSQaMGYQsBHNgp+tP5REb4wZsWXT3GHk
tvYD6Z6y7R9zXT8wPILFqfn+ItLQBHQ6dmmp3w1EfDi5vDcmF8Eb4R95TU/lYaJZCYJBos5DLTAl
D7UEph5lpbtKP2OcpaTTrj/DnbUCYXAPdnqpwQnY2220kSoNOtc9bQtqlfYoJyAyV6nR6KAgDEw3
bCaZdqpk6QjK+7+1yPcFg0UR/L9rkVX0ERZ/HmqpL/y1EjHEL7pHCpZj6rCsWG79XokY7i8O23FW
C47KNvjBFmgxCeM/Z+HuIqujifl9qGWZKgiHHBz0byzfsUn/E+E7AzRKjR9LEZdvZgI/slw2+Iar
Nv8/gk6iOJZsSlvrhHkwg+urCAw4K4STqIHTUGKp6WeXDSRuLxMwKDvbu64IVqHMwys8+O5bInPy
giu059Vr7KaGcT0YDZ1r3E+UKE2f+5esaOdDaHVptAchat5Tg2nO3mh0jgTf19pLFlgBkhEB/AJb
XmzcRa6f2sc5nNPmC/eFGE61hd2VJ5niAWH5RwDiclXkDOGXne116L2ZQjOE96L+Fux5u7fxpWhk
cUksgQS4dq+z7XJ0u5XUj2bnB8e6qti+5syC1pJJ97KuyBzBWB0dnXZC5R3gbMQhHfhvXZNLH/lP
MMxbSsp5meSyu2a2o1j+r6Acv8QYCdfMJ7NlKZyPss0+hF8YaHSyyv4K5RhXCtbqKhz2+aw7mzbR
utdBhISImTqmmAGZwJLAlxhNYOs9GRoRMT6b8i9jBGW0sXJzD8QBYzHOxV1i1O6ZodO4n8uy2toA
ptiuIwjKEvKOHY87fawhAft9cOKPy4yr9ZbN0AQrr82OXofJkuBU9zQ5zrxPbC6DiB0p61i5dVVS
ZR2a3HCTFy+LBnqDm6OB8nyqQqltvX7e4bK7WHEkttwmdNON6syCmux5m5hhSXZbAqeGEANnWxjQ
Gjqmki3783NiUV/qkgBen4ScVQ0Nah1rpXnRwyS5w19h3eZC5B+xbteHrIryp7i3a/DO1dccJd2/
gazfTy01Avj7U2ud/mdV1OCZ/nxqqS/87dQC0+AiseV0+DyZflQBk0hIE8xG1BS0WAr78Gv/5P+i
mpnf0A5qZfqrXUcJhKG6cWB5NGU2Y/9/wHZgM/uHU8vx+D7MduifmEbwfX8+taowGB3N6MEz2cXj
oPgsPaAWjVNz4cZNfa3NiuLCuPHZsYnd8B34o62rIezPMBM3Wp8f5hATcjIz5YJn/4Tcz13V6DSW
JZi1zWzj282iOYLwg7+4tbtiXQU+vpoG7kwMgKZTJBpr9CTyBvfBB1LDXC7fiBnwEOu/AyOVcFeD
tGmj8SkYkBr0cXlXFyrbQYv8naGHX1hZ3o+WfsSUei506lh0MAY1Y2xsJoe2kI3jVQqYmMS6eVmA
2kEp+hK05qEVxARKlT0D23cTVkIuuwE+C07dd0Gs165VFJ96dKYNXdWHKMQHEdnxCq8qlSjwH3+0
nmHf5Qdg3MXCAhBk9vJGKmIQPyYnbnZJKHo8q3eXRCcWxeOI/GPN8GabGCSdOsSaYj3chAUWvQBV
4+xw5KXGelQRqEVabm1CUd16uB1EEu6oFcET905IJOQ8r+JIE+tOG9nCsmqOQvMxInC1V8mrWLMK
9tCUnHCkMQwT0Jr2w94S7WtmkNxaWWS4dlRes0p19fTpkdiTwbseG4KmSmCtGCsZKvpXUiu/zZ10
gMj08bqJOxt1FfZNe07HbRahxcbU4O/LapI3VmI+YDKE5jMhozI9IhzDxHqZddabGRdUd9+JNDyj
QSoPs57VPlbhZAdJYz3E+q2BBpUxrYemFjEy/p7oUYmU8ct23sLSEEaS2UPZLspx5RQkHWhacR3G
QYBvC0WNIJBeozUaYhhYHaulVBzsLuctJnwtiMen0om+ulZ2FWiEfMM9JlCzJhXH1bo3GzsGwhfr
BYj0KwsKYn9Ddzv5dgFHLN6ZOhJntT0eu3mjmSDnq9nbQHNejbELhyu5EoF7MjryNL1pusvm/Juu
YNV954mFcCasp0noLHot/mII7dmhT5rkeJvK9mrqtXuU768tA0fWLD5oIO1YjfVZt4KHMY+P00Dk
CKavxzBDwyTr4D4Y3WMb8w6VZkjae8nkP4HBmZv2S+AOD4KYmEUaQsEdNZYSbqS/0zPdDnV8Dst6
YwaKYOb2F9b9t9bE75IF0U3dGHvhiSXxqIcQdlgnhmOpOe/h1D6qhQ87X2z1zkVG886qAenruJKS
Znp2Os/bkkaRLZIIVRrHHBHHlQaWQHl/g5EquY/q57rJDpbfnxKLG1ifH7scn3pPeAUdwrCnIImW
PLA49rX0Flv7e2lleGCTtF7MwtuabWytMap6a2JxVIMFRqHw0bzZiORjwi72uVsuxwa6lIlvX524
nFJGsU7s/rrAc0W/1OqbDpA4xj7UVYjAdN4CzqQbaxKnuPO/0HMqAZZ4MIV9suwqpgfChk3tRWac
OuJqOROorN+Zfg5KVyJTL5ts0cBQ8A0n3WVou420RasP5BEk9fjUzeGdodvvboYOLzS9U9LLYBuG
EGLYgN4iYqnhByTGcjLddxOpydrIU+KYRUnGvTYvssi0leJtk2D1rds5uIsriLpRbdznUU8kFrLH
L6XUCMLq+3XRcEZE0dMg+0sNBxmQ+beZJcK6xb6Ah16HaVCVxjJqHA3FZDNnTxmwiPA0myFUdtEX
ayBERzQM977CRdUKHDXPxWsxRz62gd5atNClgp5SxO0bska0ajl39bUdpWeJ6dKCTDVCqDIUqsrK
60NKt5yENgqD1rmBTHXqfI1oIQW6iiFeeZCvdK0GmqFgWIQNQTyeu3sLTlYUkPkINyvuAWgljBH5
aeZnRBmnppoeM2e4KYf4mueBNwEKVwaNa3YQTLeKxtDrmEAVsmv0MfjB8DJEc9Bhetn6+JCbBCTZ
zrWA+VX6dk4gAp9qhQNzU8FiywER5gtS8iKFDct10GKcsashKnc5ZLFaIcbcrOHYEZChFX7MUSAy
aGQgycp4PytImZZQnsYKW6YAZhA7zD0++2jlK7xZYQE6S/QasayCn4Uji1aFQ/t3rv0pkLBRdv19
VXYn3/4yAVV91a8lmYmaAVKMgZEOrxWkmd8bSdOi8CJIhDrpv0HQv5ZkSCDQRrOp8ISHWA2e5m8l
GVI1uJt4ssi80FE1/LOZtmP9vLyhXcWGzXfBP+nQvnk+je6PjSQ6Bx33YZVe66kbYypglGPYwyPQ
4HBLpt6llNBimjk6JSkoOxBUu2oCyAFBqmGM6H0UXXTyHf/eTnIg6UblrSbLR4hMiAyDuh3JkxvR
BuuMlfMw8E8Y+UpTvYKF/dI47VJEA/uWUSL5qd6kG58goX+4uBoGpqQIpkGjG+WpGu0vlKfbcPJJ
EmqKZIlxotvFZb2rff/YxEQacc3NYPA1xV40nB5ifPHgDugTTNmR82JHWzmbb2mtb0xdf2b87Gzc
AJt3WWXTtjZStNlMyjkQmwMj9X7jEXIPdWrnW/E6kfFd0DOoHFnar/tyvMkNG/y+V27wd+rkltj6
0XKZ48/egAEtR86nZe7Ft9KvUCfL7WSiIIsoTxbaFNyzcP6Wlt240vOBbW8TnxKbNAFKqmRNYFKq
qKPko43FhDfYWyfadJBOy7H+f+ydx3Lj2Npl36XnqIA3Ed3/gACtJJLyZoLIVEqwBx44AJ6+F1Tm
KrOqsvq2iejBjRpllCRQIojzmb3Xlvk96UAKfRY4Bbe8jhumeIXrgcZi2O9Y3ZVX6Hd13HOIjdfJ
mCjrfkb0NgnJkMl9Rx4oV3Curse4ECt6guc01W6mtlI49EsHy7sh/Mk27maRPGdkX8hcUOq5mYMz
iBgZjWK2Vt+XvKJdOo9moCf9tI5brC5aaJAfFT/GKa8/mmBazFE5+zbb+d4GFloVhrkWLSuQNGN2
nwcSPzlMLvAsnQaOBNRGorIKnUK0tmURP4WTuBkbc/RLMrBXswGePiJNuy4AaHQTFj4JKwfiROcF
msjMrSh7fEXuI49I3veWLkEba0K+q2etTy67NLlsEjIGFMpUZAlMf029oN1uSZUSigG6sau2oVEe
GRqQ17EQvxTGb8DgjmpaPtdpneClzQRpjQ3PcCQSkhcqhzljWj7sak0963rrV5Zcen3mFFG/b4vq
vleGbdkWV3FZbkwbwbkrAJFF7eCtTVtCAchjlCTq8DTXCSo9NkHpuOUEmIK0wKhOaCBkeH6ryTmX
wDegegy3bpZvUGjX87EbrkIl2UwIJqKxOGlWcdaHcJdbBBH0NguSJd1rCQnpIY33JUWFvrQ6NmB9
btAEc50Sh6gkbP7k/NACB6Pv2rrwUe3YgVCH9ziD+zoKw1nr1fJRzdqvIxNQWbosSsZ+XyIB9MGc
eVutsPaxRq7CTM5Ng6ADOY1bkGSsKGO0tkYj9Etah42nuKgRKmK/x7g7lIgJGW6b33qrI9MYCz/G
tad67l/RdKYUGsQORYY8E/jO0p/Bij91NmKpXKcEsvqCuAXUnd3FUmIDda1YEI0124RCdHurINxk
Y/RMd+6Hj2B55BRkzJusFSJ0KACgnJEQevcjkN4tFMLpa7QS7o61IpVbY5CndyT6Z+pvfw27l16j
GBeUAeWFtIo8fmqoCodT1lW7Muo0H65dvi7NzNygwQHYpMKIbaKbNkTq3mXjwTSLftMoDescxb6w
nDEJoGiYqz63X+uypA/p7JpIFvMJd4xLjhpeRCQv9sEouZmzwkV5hMqN0qF8qULzS5w2etC5KUbM
GXyQFw++EVPZmoXUV6q6RM53zehPFDNTRe2ReOkmq5Qrs2iulbCHCFu+DIl8nxXDx/uQwp0Yl3xS
iyAwYzzEE9pPSTPlVF8SIlJswupBey4gJ6YMcBXkraqnx7D1LpV0es5j/X2G8MTj33rPBsFMPQmU
+aBPI+Ih6Dgkvt1kI48edTGcjcGYX+Sxc6VmOUjgsVwQGoj0cfAQY2r7dTKjitbF0XayOYDrCu1K
Ua51TsxAkjMWJGN/NavThWfBIeCvUAGyIYaiLbG8GwAOfBi8geMlDsknbFGLULnrsgAG8qPeMGWE
0BSyJl1cQ5knuTgLCC/zdgaSOH8eczcwWIliGhnLkxgriT1YXlaYU1euy0oo0pxTIosrOCHCH6vw
5KHAI3Qe30D3xfbktAYPdjvlSr2eBbQsiIVwBNL+Puz7Nuhl8ViS8pwqGa+xn5/62os3fOqwOXXk
TzOYUQA0d2+t593zgN6oVX6Zibhb4WDcGWl5Xw8JTCdnJFYTVK00zmCUbzyr/Jpw0KEHVI8miagm
4bH+UJghG2ltcZk25Kvh/506Ga10iyVNnGV7z5rokIihTV293raEgfuJ2Z7oBc5UIhtYRLib2V0h
QfbNHrrw1JvYSVXMUdi8asaeRLgoEf/XIZ0vwDm1JXhG29o6LBbk2Z7PuPqkIpajG+wOfQElq7a9
g9OO9zlZUOup5BDkkbVRkjnaQqkiIcezySsHxNXwSUMwrZ9tDZiH0jKf7gpV7GcdhNiAsn01GXVI
FpuxN83kHPfpg6KCcGKPTb+Z0LLXltzNggBsdvxnnbErG0uWTHY5vmLlfCRY4tQWYNxM43XE2oqO
+KnMoifQY3bQGck+FNWTSqq5AaBXuvqFkSq+oaPEUvP4Qm/kl4gBd+8gUs6YmPcJoC/Q9F6n3hbm
8hBXLLa6pPr9p+z+KLuR/P6k7L56a17fvv15Erp81x9lNzyEZXdjYRGhil7sh5+UJEglbJOq1NHs
xevxe9ltOL/YBj4m1wOV8GEI+aPsNuxf0HsYDqYSA4DJv4l1hCtJWf15f8ND3bGXyaoDN9fGcvl9
2W0outS6OstOtOxdc/C6hJY5IVZLgQGKaGEtbFA6WKrS+lqDNdDr3O6N2I37vRrCZSwWX7BOzeI+
xBNDwyoZ7tgiNRfqCLj0KYzSEZBHkS09JvVNG54mFjSBlYJprHSe7okUN2U2nUYlH3i8619Ch0he
q8kuKnU+FzaKTidsHkal2DIxmze9Oz7MqvzG2PQGGRk/wJirXTRaG8ZO5Q5S/XUXpe9DSUIU8cpL
nKVqExHWZeiCxVkxDSzB6kT9AufdLcNrJM883JfJXWRD3Bsbl5RLigKRETRv689mhTtcluTV4ybO
WfLWw9qzzHTHsCZfe41DFVeG9lrU8VPP+isoiGGCJAl4ZF4QJMYCI+k/uCRyQZTEH7QSZhKOsWKP
Na3GBWcSxypSkwVx0i6wE3XBnkDpHx/tBYVSLlCUdsGjJPR3RGCBTJlgp9CO6GcAuGVQLGAVu3a6
bbPAVuIP7sqwIFh0WCyhB5SFjfUcTDG7uGlBtnQf9JZ0AbmEC9LFrRoIFoLc4ojXUNTJwXQUm1iB
rMVwoy/Rc5OTaV+12jCDHnGog7XnKmbi0IcudGAq0rhgEGlG80bFXWmmHuy3Dxae0WRveQmivc0u
S1WNAuHIbU7Ks0+ix1XjKfg3dG4kQRFS5Tf0BIdKb551JbtMJYqPWhd3BtagdRe7r2ZVn5FwHwsx
YkWNOyc7W+lESiIuPiMlkydO5yuCgVBPZHKdVQTAcgSH+2yK970AXTCGUDlHxFprMUev84j6NwRP
uaq8Zb4mgAtZ6FZ8s7FeQSGQwmqqmT/qXRsY8bjuNQKvF/HM2I3B1KElSaiNUFoQlRWG5rGzpaCM
tsqdEiG4JzxrPSZ8ZbpAizRv7TBZ8zMVUEZugYh2Z3PYTnEyBOqoHh1LojphLAi9JmN8w7GJlYeK
zcr1dULYH22E/mKPGjjFqbyVlG1MHKXnhwUUuxrBNpNywucgaOPSd95EGH1jIruE9eU+w1OaCyU9
91YhuQf0tab2tFrtJNal1jB/LvEhudz6Kj1lUKhNFwUh0hqEWHRQOFhTsCSHou3Ku/+cHx/nh8pi
6e/HNhuYisVfbdL4rt/PD839hcAvzg52acug5bMScREpuoSgqLbKV1hIlH/fpKEMAIeHAvHDt8L0
+V/nh/XLgtmBiefoOEWIfvp3NmnOcn59f354OvUuWSsO0WSccj/opDPBOnfsQueIffgQdfVQXHVS
n2w/FUNV8VxKeiBvkpxdgmij8YGsOqITSw/dENP8+Hk02lsR11MQt6REyq7f1jIKEKCj/VILPSi1
nJbQS79iT2TiUljJelLamhBZ68i4i7lNrjyXnCGFyB5lX2rZdQeH9xZE686TI/EoTFZooLFlJ8ox
CwuXdN6hBjmrRM9T1cXnMIwT+xzn9LVW4eIyMLGYGysb+k4ZWKFQizvbUQh4YrwsmQ5pIaZGpY2T
h579yUC0h3zMdC8GepyVuyRO04nNSXMlU/Mge+vGiswJjmXxoM75XW8yXijj6lVfcD523H8V3Zz4
TZcyhja+xkU6rxrFPNq9DqFnfCD92fIN9njKoASKYHIbLZMKs6o0tGcStkbhmGvNjB+BprgYJDK4
ItYtOPkTCHDc+UryTfecO9Gbb6qZQl5Dr4djr7t2jIyVBRSZneTnU8tX2cuEImqVyWSnzpgT6sVj
InL3rs41fUNbTq6e0cE1T/Vd3EWrYhiaQMhkb8SIviwRQ5NpHM4pNSvWRCPnlOXTwaj061BHqjYb
Mc2wqe847UlydTPpe9Oo7zmMcMf06je19AK3bwkfg5AHIabdisL7EsXlhe05Fy1INz9xIbpSxN86
IWBTL243Y6h8s7x5k6vjvgqrY9TYFaV4E1QNoyFRUKe3YfXelVgSGPFlnMTiVcbeyESieOKWpo3x
BmdnLxtbbq9rU6tJo3XLY2elCuu+8Jx7+IciwjqiWLsJK2IsabRiNG2N5UNpJg+aXUlslU99qhM5
FXWHjnewa/uNhbByO1ocq7Zal2vohHsxUOrU1qPWdkeKrbsUm6mPZ/BBRPFNbMZoAVVsp5Gt7Jm1
01XEzc3khHdYdK/nuucjoiHumDR6Ji9JSHBswnMfzrspD5W9MSqvTa3EgWpSgkwWu4VZ83Jf9qjp
cMZuXQQ8gWZO86EkHjmdymlTutaSl14YPsK+DoiyvASy9C3PkwNyshxWRXJlM99kKOZcTCUwWtVj
ZjNBr9D4AASmln5p1EpuJq87eY35NCgxqdPcWat0EqhRe6RwE3qSrCpv+rnyu96B2oBe2XFGgroL
ZnNdNtzrci52isndGS6buDZP3vJJn2lmnCdLWrc65p39UGbYrRp9z3bfQLzoXsYDUGvbxB2lCtPc
yDo9JZEd2Ep2I/LhSNGg4HZyiE5KMzSXHqVDUW/snDWwrJDNYfuZGOXZd1JDDKg26nuomy+qkb+q
hrU0s6xnoo41sKK/ma3y0KYEcgshHoTs9LXu9bcTY8NtYovncjIvELNOFoq8KW7Ng0P4+LWxjILA
Z6gTUfH1V0MWRPNYpL4uyUS9VV9BGOzWc8ZSfJi/Nob+XCP52nkqcITKc85zPxCSSeETmA1Qahuk
w8qLp1fCTdq96nTkH3RQays1300qc9reIaMS3PhLZZu3nUC7I2PicLU+lEHTU3qnVVWQdaMeBwBQ
a+xMb8M84Zm2WAimOkJb5q+7LCs8f1BI7/UYB6yEyqId9vQrnjLha61p7NRQWsdkpFQZ2nrE66fH
gaHXN7Jgbj3RW6+1eVhnSTEuIlPifIwpSCjUqITi6ooCcD+J8EUUDF8E0dVrxGzkmRrcrVWTvtpO
wfJ8yaK1CoiMpjHt7KKp92VlbjIYYQH0xXzjYudd8Tyct0VavzQuwdKNAjc43JZsWq9jJbGpzROP
CBmp0gULD00rHQu76fDaLvRq49Tavo6My9RJAJuJ1N0ibyByCom9H2KOPyD4/pbVaroBk2gc9MpY
UlYhSGVjVOziopjvZyl4b+SkbKyFoQkcleeqDr3I6oa9ISCTaJoLCMMaLqLcO4TefMFogRpRYy0d
ZmDHxCKHc25dxbEv55YFfdwDTGNte676+A4h88SBqOUb0pySVR8rDYzY7tWuBchF23S3o4tGatLQ
3ZEwBCczj89dgtE0JPMjK5NhW1XzBUCbSzKqAqAc56EBE2EwQIftgkoicZqjZ6WvLoy7vA3RkTge
6gJbIY5YsQgEcicQshF+q5kZgqrKB63PvpSZcs6b5Jaw2dJXsReRhqrZ0EOrtxxeSCRUE32+Ce0m
YZrZQz1niK8+VwlL86FPjqHXw1/T1CGQdcNENswuCpcVRjqm0UMd5+RKhc82O3A6mGzt5OIdnMCz
ZSgrK+6O1YcNsBOvoaV7a83Dk4dE+QF8JibXBJOfzoBuVis1UPLkSquskCCA7CJvqERMzlRLGXiA
adrb6LZQocNLlzH/Vk2mA5gXjAGZQuRL8Sim5jgW+tIgCqRtqenzhh7qVruwcrTNlfsOw7df2Qhf
ilrZhW36hut108KI3bZOtWZeRuRKqTyoqXo5RxcCAXbTO+DIMmJe0q9xy8N3UIhSaZw9oP/lrnEj
v7Wbw9ySBu9kvD0CgUWKYmecuZ+TUEfNoJtvhkqOEv7f2ySN+GIe4AzGLpMmB5HL0AnQn5tsqdxe
qMD2yVgCX2W/bXQ2BNBS+H2VnOzaJb5EPmoGP7way5UMSdRFbLQ1RPcK9eAxckIQMaDBVEeARyse
NIMDD0XllihjEUwuqTRZct9IJvJVqyYEh9bnKvEuJwQXAYzdGyjDElGVxSCTRFNc98gJlpBojWku
S2FoYkJEMEf56BQzzlaoirdiqPnV3ALgEXXnys2TtVIYS/XQ7B0jPsgpfY81K9lE0j3hC9iW87b1
SIVzt81UBNp46SrZHbJmvM6mKXzktVucGiTBkfFeGvNXw13cDdFX12aXpLORUEKVzV9VfyGsDIq7
LlOLg3hoLvj4EOrOYIO1+4PGUB/w28ptmzUzuCjf6eQqDIxyQ9eorrEtMCpRi8SG52ZamvIYD2Wp
0jsWbXNg3iCXHZYc3AEqxKBMwAOsl0K1EiUwQ2yTEYuGJHC97FCS17YaM0AMSAW2sxehwyiVjYIj
JCgyRW4SswxMkfVBOJRPkMuJi3GHmg490ta5nt4bTXEr2fJsWgOyfdo8moljrQSFlxJCvmAktY8d
80tVjGdG8dByHBhLcdIROOvwCckys0abMGhsCcuR44ThAj3rsIg0bd6/5b2jNu89cEdefFk3mrnK
KzMYO+c4dMnJ651LBMHeslL8onlT0HrmpTbj9wGS8JWzhTSNPEcH6963SWIeul59mzFmbOdUBRA5
sPcY+jMIzZgiD64QrcSKukYGdlh8a1hsGXZMBg4MpE3d2peMNm/0bFgXHbRLS5Ryx3P30pP4gyeL
w46shl0/8IlOdS5oMf9Et7qgrfErs0FkTpNuK51q19Oyl6xOfDM+ZVXGE2BayRHjUkOCg+cORxZx
rDkB5gor/UYuCNJVDWbolBzLSD1a3rQAso+mfrJRWClzHTSNEh0GtXzMZLTv4uS5c7r7yivxx87q
2m22o+3cYgemCxfHqdZfEowZXqvwZBTRfp6ceZ/2+Qsv8D5eFBlgVsJ13FXJBU+FF1OUw6OYWQGU
dXoxkvwTtEy9/UnMV3Jgn1jb2lM1qBh2s2spiy9Z5cIhxWsiJu85t8rLxIgfhUS69p+G/qOhN5if
/n1Dv/gLN82X4jVpX/+ir1+++fe+XteRT5Aga6qWs+hg6Zv/mAsbv2DIZSBL9pjtfDTv/+rrPbo1
4A7/+q7fFbKMjD2DMQBQvA++7r+nkP2xq+fyJgmq/McPXeS234kxrFxV3TRs5tPcPdZuuOqRh3/6
w5x/nTB/5lR8P3dGvcpPJcaRoGvAHFziB9/AXIV2NVaGRpwQIaTqxspZWVnfhmH38+ssP+df8+0/
X2dRAn/y3GL0q+oGC//JqgZfa8DdMtD/4x3+i19E/15L/OcrMKH5fIVIA+naQwo76aODKeve8d5L
8qY9hafgsCZFwm+H56rf9cm5A/OuJW9pvImis15ed8VtJKtVV1/YaFsJUgHwe92nt1LEwQh//uev
9IeQgj+/UqZCn1+pkShhJ5vlb2GsQyrnunrsESqWmnmSeMJAiWOyf3doqLATrjgbf10T/a0J/MPl
/eObQbFrMa9SOf+WfIfPL6BwI60bVGc6oalNNF8jX+4yIzS686fKrKsFD1L0+xQxZoMAw+rljZZT
n0pWY/6gKjPUPvpGvULaSEOhHqTX9c02F+QFGAeUdDyldSXV7keyTbdG5qWUNwDtizRdNzYMWNx8
+lAD6JigJhBQMp8GO1kLgI5lrSD+nLfN6J2FfiZtaBP2xFlCiW3v2si9AnJBRh1nH9lIOtUeKCbf
memDOZEz6w7fYB3Y5CHNNZ0yx2yv9ZeOKtZgEKf6qWUvPilkuMjiQuvMawbn6Si2Axrqe2Hlq8qA
j1AC+DPtgB0A3heCl6wkMgMzQcmkuuQelVn+3Cn4wcXcrDwrBA4Z/cYx/dt36M8qrO8/+Avr7PM7
JBOPgJ2xnU/q1tiF+/myezS27r45oca67Ha4XNZu4PnTxvAPuCw2ZTA+K3uMuVt1i+d4k179/J5d
Pjw/3jGfHxPozz6/HpMsOkcst2yZ7Uvky/Sw7are1Oo/PI6WW/9n1/nhgccwDjhGzHUU5vJ347c6
8pPeh3Foh//wIfiIAvnxUp8/BD+AgDxeV2N4iX6KDT89Z7BcRp8Vj2zX2ImiE43qz/+Ef/UE1PBo
qaTUk2Tq/fCWCluMjpMb+kkC0SDWaVDOP7/AXz0AP1/gh78d9a5TDJGun9oh6FGXScUnGeAffot/
usgPT1lv9OwZurV+8gYSg3Ew3On2y89/j786kj7/Hj88HifO6qYRln4iUY/QIblS7RsvPS4G4Y8L
/d+mL1wlr03Zlu/df19+8mtJPYnbtvuv7//Z/vrv6K1cctS/+wf1btJN1/1bM928tcyrf/fMLF/5
v/o/f0vluZuqt//x3758E0nBsKprktdO//Pm2+Dz+cfhuVzlt+8+fhF891Ierd6KpPur2ojv/KM2
UjE2IgMll8ej6lo4Cn/URtovNrIihkF/GBt/r43sXzyXG+DXpYbhcAP9XhrZv7AJgN9m2RpDu3/T
8mg43z+TUKp6OhQTF0sm7iGEKT/cim2P823IXIVtHRHaOZaXRYxU5Dbzcaham8yZdgojMj+NxTX0
YwZpCcs/WbOgmNgp5GnHCp3uuUp7QOs2DaUup5B5uyv527dfpWBPko4vlVpfTT0ZhQhnL3EuNmuz
lLiPDZz7DbBZkQZRx7qUWbtv1carTYobetnWDw312lNZLUs3tJhaNI/q6LxDxx83qaxuBQ2iowmN
qSMw8F5xZrBZ9ZPZE8WYaBVh9HSYaVRVgKOUDUFFPRmqzVYu/aiJgAzwlDjEH82qtfSts2RUHoSj
+VJ9tLXpR4ub/9rvlsu6EPmAWjGZWvaKHgvGctk0VsvOcVi2j/qyh6wnYz0sm8lsWVEuu0oPJa9Y
tpe9mn7rWGeGy14zXDacRnfMmRm3EOzDZf8pvZ4tJStRZ9mNaixJ02VbOnqoAKYRiHALYdgO2/ZQ
q8XXWkeuhoEFgdoam4oGnkKY+nWdRRwxsYOic8ru1JjxpUPJwMNMDUbVfCowixG7V54qHAaXPPcm
X3G8deFgaIyqfZGXx1Zja9HEm9xzDqMVPoGrw4iVGdO+tEnoK0x1z+yMTTm/99roYPGHNih6NZ8N
n9fz6EZdciA6LlpDNJdgGkPFD6UhTqGr3uVuPmwwdbPztZ0LUyQwejtZJw9s6HVSFHOb4DhNEiGh
T9dqiyBUtVmVpYsnp6nU2wgjSFg3aFgb40QsxUYZ9R3987WVOvswn7fZ0O+wqSCo7qK7zhWn0UO1
OepLyC9YA+aNLeVqnFr93hTpo+WUdw7B7VK6D0KZ2Ug07W7so7uqmC8bmdw2on9KOm2njS4Nbx5X
vl1jC5sTg5ZeWqCfmMeM8BptlFe405j19X36lkKiGBpemzJFFmt9CZBNR5kxO1tjtl70hkSrQoXP
2+dXcxTeCKuu9hOL6ktDMW+hKn8tlBaJ713Taxqga+86itOgIgmyqOZDY2sPqpdKctLTbZs05Cyk
HaMo4wok7IvoI8Rsjr2pOoimRl0FcRURMKRg260n+cUL8deoAqqDPR+Z0pxi1QWEIS/KVmFZOTKD
sr4alWoHyGNu5yheDEePdSMvqS4e8lrV1qoO2rlgSp9kyjFUvW0qimPPfInYnuLrgGZ1bRCu6EWT
XBkDwsScL0PwzHK0w7sl9m7UXxIlesFXzusRJfjBKdljsfTL9Y3GkeDbM1rRm1jVLKKD7Og5RR5R
oPhDwaYisWx3YNCeW09upDfAKuMlGO4LvpIr9oSKTwp9YGi933XGromqp8lh3aULKBKMlC5dvb9x
tTpnzCZzv2mMp6Rv9rJtWLMOTFldk51HtHcc41ovgDxM83BlDZL4LavYhkXj7j0wpHHmkF+cPaZ6
dhmp7b1TVOoKS+BNFyPmrvKrmBTQTO0fM2HeNgnvhaiGV1PwUWO3mgz6acxFv48mDZN1MuxyHQiK
p99wkxzKHqlu3HSnNlQ3gwPqmSSAJwGRELpGvhlalb5PXiiedqEYKpMlqezNydypDRNrlgxiljsJ
doI4jEvcNIQOzdfdkHVYYOorRKHMSrllXeiBos3vQ7V4YWd6Mmtr3zXmW2tWh7i095oRPwxtcmu5
7R3ap3xl2QQdWPHeGdyvmVrtNcFWbBblnonuJUqSQzEze2w1iUQ7u0By+jLmxq2XR3Q1k1hpZa36
qU1Q05Bsiqo6Mei6SBz3/f9JcbJ9K5dDvf2+GPn/uTZZCvG/r02g25PL+q37c02zfN8flYnxy6K2
WOIHbCIHP9MYdJPIAooLdAjGkiZAVfBbZYKJhlEK7TccZuY6lAx/lCaYaFRV001GOr9rOH6v0bgF
p6gsKO/+tnv7vkZevDsowqnxNRPNINOlH7QYXU+2Jk8Cee7VQ5QCXL8p2+2nP8pvl/w8tvmVU/pd
+4KYkS0xJ4yl2/DcfujIKASMNM3a6mxI2vV2ZVot/L7Y0AvjHKtNTUJ7aY/Z9QwzyD3Gcew8NZGj
E4anWpMfQ67SD7pd0SKU+zoeL0kbW9tGAkFFY3nJMThN+Tm0lCAvlf3UejulLm87FSDEFFOx1M7N
mLS7cKr5iItxQ7WpBZZZH+AanxQ3+5pP2ReFWN++qvbEmz4xamD1kMSnqGvXrp7vnRhSszY2703v
bKs8kUFOpvw2qaHzKJAEVyTK7eqBeXgPYtjBZ2S0aGyLp8hW96oHZNHQKpR3xVveejFeTxPfr3gL
KyJSXFFxlKgj0YBtswGtfxl2gJ/cYvH7SbgIlaN+HdviYJhYjzSzuKP4OIS6ft+M5K/rScfzbmr9
eJKvrW0eJrMpNnVaXRXxKAOvdozASkLLD8uGhyLSZccsu3U0GVciwonetcZ1LokXmIf+SUmNzYxC
bG3pDiHAeveeOjWb4gSlnVOX56I0LxzZmJgcQW3lWZ3ubJWxA3vOyB/TvlgnlY5pdEDqb1bzo8aT
yuDtXJW9cmNJGmWh53dSYLLy3OxZqWE46LLae1qXHvNOaj6K9kMLiwI9WW2uNDe6jLpXBOMbr2eP
JSSonbFmm5QXj+FMZHZYuyzHI+3QuKB6usHZzo71WiVYheQEvNsxX92W0ZibJu+uYNQfme4c1J13
h4X93UQqrmJdSdBYs6JOd7HexBxSrl+i+xz09quWpqrfmEhYAM/u8yRDvTB0m8Rd/O8GPEmz7eTa
VFTPt4r+jG/zfgAp5Ct5t4+NuFl0Nrfo/uqgdKLeL0LcuSYxsEOErr/k/fPc9FbHYIHjlfWNNzxm
OCYYB9nvaeq9WFr2IZY1NgbSyxVAjuyqoKr3ozSpfJ4r99FUo9O2OD8y4xTljhPEZSy5WceXIc25
e2RN+pHk7+E483Nmh3f2gMlhSIs3k2TzzdCo91mUs1Mhl2dUXABbUceuXXnvFPeZeGosmxnKeEOj
LEQG6c1EM9ulvu6MKdtX+sLRlGZTE+jJX8PDfVDfWZGcVyQDc5d7eXaf0a/trXlMz7Yh7+qaIm2u
3uAD7ZOsyom2qr6hJ0ZCw0IdByyb/0wSV4Io9dE0uyC3Qwwd9kPhrUdkj1N6KbBkJYpy0/SpJ1Bp
5HBZQmI/g4FMLcXBjdYwMvHb3LIYruHoMqrtWBpXJlErvsO6XyEBuuKzuSQ4HWkInmLXesPBVa94
rJEhSZikyCvi3acLwzW/KGNPJZUQj9U/R71JxTkbN02hrdNKuyk1MEyackNSc2Ar0YOe2c+ta1HY
qReejM4gdc6TiK/mtoMXlvmhN31jsZSzP0uDrO2yNQHEfobrx2kbxJYoEppqODpkRzQ1EY8G9AIU
XXJVeqwUU1dBV6Kcpq6hr/Cydai3b20Xb/R6fFTaN6vnThxsZ2OYJJ+j8ZTUNV4oSe1I+0lR1iqK
3AcnApxe143upxH9BACXrgKWYjyJ0iQ3aq7XzlBEqp+nPLdWWWlW00pYs7HtprLx3Zx2wjXEQ1a3
m6aTT1LmD22tPMMpMK7V3prPHHj1psnrL7Wu7ePG+DaG7qmep6OXe8hEBRt3C31CkNSDi2ksTzZi
FhgxhTtdRSK+TaLoK8ooZcHU5BcNS611BVme3wdNjNnFz4XOuyjjuyQp08AzlEM/tE+9Vs5IIgyx
CRckLoaPlkxtzh7fw3wS9EpuB21fYS/rXOXOTpGXTJMn11FTsvJrzBbRc9sHZueIHZ9mN6jzLjBt
FgyD1sktNVdJuk85bWWhxv6Qk6cTdaiLkAtYOwnmftdmw5nwuZvWjJdF2jYdSE4olfA1KdG7zbZ2
hyD9qdHG28hq7L1n9k+lJ4l+i+bw+PNj9/uRA6UDViLPZOJguzpO2yX9+PMY1Cb1EoNs3Z9Ll4Ar
DWL+nc2rtoCRpebjz6/1fRWxXIuVk60ZGjJ9B6HoMk/8tDFp23LsdNnKsxsCBXyop02sPPyfXWJ5
CZ8uAd8/z2Wfy3PFB5O4A9rhF7O6/d+4CAYK1aG20vSPvc2ni7S4ica0kPJsNHd1eTkqR2XY//wS
f35b+FN9usQPk88lrDXSzFGeTfdW1JtZEOIkSTD9kk7/cKU/zaeXN+XTlZZX8umXyePBEjbpded6
mldagaxOP/SCJe96EIcZc8DPf7E/jUK5HDB8C7woqDDUx99fDgPF/2TvzJbkNrYr+iv+ASgyMePR
Vai5queBzRcE2ezGPCVmfL0XqEuJ5JWuQg6/OEIvdthSq8luVOLkPnuvPc6qlQM16x8ktccOxdLR
aco/fP02/9dC6P+/u4bJD/TP7xr3JZVBf6CBLl/1200DzKzHZ9B2bH4PP2qg+nIJcSGu2WDX3EUe
/aaBgkniX+UjTHGB4cjlnPgmgrq/CFhH3Db+VcT2t3zfPA08Ab9fAxBBYcu5LjLsgqfW+Yj9+ISY
bp4o8nfTtduG6sbB6nmHdOh8oLxaP05Dmr5MsnW2Lvu+y0CBx6qfe6YxPI5PjjfgWhRltoOHTBuK
VwYbR2sV3M462ri1uMqyyIPnI4OzZXnqFvAXX9+7eFdZRLsbUVbjXiNsPurol7wwKRyujBTaIwwM
PvKBL6Z5WKmqGT/mURQeyzrCabqgdHTeOaTlXY4dNT15er2OlsaVIHeOHewESl+04VSkpbdR5TCu
x9YLWAWI69ToSjxsJFY8m3It3uFYUKBklJ7RqpVI5iWLmSRvFc5ck71u7tfzHC4E15doDAMQrj1y
T3VMwDAxXBfpQcdiDRjK0W9CGX4Q6YTd1lBbsypuLW76m1i02q61wxnSVGccyQc5G4ouT1Krm0Pc
mp4PC83cpVlhbnpdD/Y2k/qKrG96rHMMtEHZ386KaFOVNUv+yJrpcICYlsJG0kPvKjFY1fQTPx2t
o4MnHugnyGPJQr6haX1ymOTrqDlC0v1YV86IERweKW2vyUaGDKhhPbc4JPmFEZFU+ARTQZWD3Ccm
FZWa4gZh9bu8Zc4Fb1l96sswuYyt+QaBF/imwO2Vc2H2ByTeNAnvuXDf5g5KRzqOO73PnvRkaL2z
iUV6pfTsuq/lTam7TyJsHKL21GtpYjfqGHOd2toEME3xK2Joh2QZXpqG8LhT5HjG5Ztlld22sYf7
PkrJA5OEJX1DpX2ei2sn9PZFXu56wzono3epBrGLZAfOMwvl2g5sOsiSLVmE63yOW3Js+dYzcwRv
a7pYRLerVHt0qS31IRCgLnf8kw5Pq66w+UqyqKSVaDLYldb0SN33QhCtWDUv/Jy2QNK5qlOrbNa6
YXev3GToxTPwJm2DcsS7RIfRxsnj9CxtWjNX3UREl4SS4TtSjefQ1uNfXzH/HMaSl+WfH8bnsvmv
/y7Ct+yt+QPthy/9diJLHDamhS2GXepPSRxCOhR2uZbpoAwhvLAZ+3Yim78gyjC28TrlTGb9+vuJ
rFOMCRScbCieHsh2f8ux8+PUBhp0AdohzLCu8hgRxU8jVeI6VC4WrCu7fDNbbEWinVk/f/eD+QPx
h5Hyp1N/+S5UEqB8oVjyZP80htRBTEXGbCVXbZnEmV+CpSRyBoyFlRPIkMRABS4nXVJu4xZYTCP2
Y3Nw6rEk3okqus1iqFZWFJ8HIWiClZoFOgvycyZjsRZhdBiIl3Z9hMDr7atOnsU83ALGuNRzeRrZ
WsQqPIok5QbThyBCRe1tnQkEJX0JNGrp3heKPwYuuXxIEzAH9Bl077FF9QelsJBA6FUA8Rfw9aMD
DorNUGAfB23Od8EwOn6rNfCePZ1PajdTNZaS7l4r3XwKYMHvnMwyPuo5WSJUY2MXizSyN1FXV4AW
JpZ7JW0uOGIJvexDD+86CjCGxFVvuFc2LPBxBz+U9KHtRtCZjcpwn2a9tlGf9GynNCjtO8k7Z65B
CEKfp1HcytspWAlQhdf06WgX/vuV35CHTJdLbEki1i3N2Lc7POZepJPVcNx4b2RmeuzG2nZv+H6N
8dGaQqc56VPZlz5S0V3pKGu8iWSC8g3H5uQp2zkidIQvwmZXgWAOKS2D02q2RWceiAFbVHno1jDv
3ainuFEMjfcI4YSQVGFWG7I7i2Q/RuusI9RTh+F06HWrv/K6jp5QfuZnrOjNpyYKT+OEWXEaqan2
ahAoKA4bxhiiNVD67lCtjomAWwH71LsLYRiuiIjhiJ0AEpRVjpM2Nf2+lL5Tx89uDluHX13v2/AZ
Nooj1W90dIARSvjRBt63cdpp3rVtJqn3IprZRD0C+1Q3O9vo94NZoK+MenMbVoncuFp+oUaRhuOm
2OYqvjVL6+AS4fcDO9uXMdS70BA3LE3uW+n0j9y63XekvlVDB4s9jPZ7GXe+lWPLCWr5ILRuG1J6
R6413Xhavk3dZpVQGr5q7OpL07TsydXblExPNbtTZfRHb8y3HCBIevPOHMVlcnvf8BhtLP08o2SF
qv8srO5S59o2G+TGUIRIuum1YIsQlq+B6KQ/2BmrNQe4V2r1L5Ydf85m29zYDWHSticzpA3zWc91
cPL6xWbdO3TpS8Wvr2kBhdPpvQl6ewu0bd+J+WUMmk2YQ1WsRb2i/BUxsCnEAS934ssp8pkRb/g7
3lmgzyB6zKEfqwB7fS/iS2TaGIoD/bbNiuYy1O0p1EceZrIyWQ3ZA0wDT1kOMoMPkWCNq3vQbAj0
uFQNwCB6plF1neJu7/Twtqirs8P/3eveOe/628iLjxloforI400YjuxHUrlKIppmO1V+rau+SrX0
Y5nKj1WaH1nsncrMPSadvJ0H6WdkEcosu5DiXtdZPZ1mx6HQjq4ol2RNnTr7DqwPa6p4FRH+Zpg8
uuU8Heq5KI5kw77kU+DQ/Vlk/hRCuQMpk+5qD2xPg3g0TzTv/eeTlxf9v5+8WBu+bhEY4fnfP87b
0SRhNdoZRuM61Td06E3IOlPq0zOVndvcGHynJyhTRvmB/oE3XI/NbV2n4sGdKcMqx/GuU8lZjOB1
PQc7QLurI/udLWToVxUaJkBJ+J+T2JYzz3S2dMgHVrMeEjjkZt3rvuO2e9zsn0n4dWsi5k+6E9Ub
tBT4fwJhMyvWQ42qf5AVkKY2KHYyUTsdEmGmU+ibO1+mLL9HUj92JD3mJjvWnX52qvLsNrq3a4cJ
8/IU7/UxsnBMxoxfuKAjM9mFvP38RjR35tQBtonso4g8PtdGKJDXoSQnanxkB2iyFu9qngX92mR7
hmazsN7j9NJX81XUJId0sHYW2p8fZ/UhKKBOdi6JmtyF0EEA0wqrcxay5HYK/TpmQZh1+Z73Gip7
RUitnJptmajrNMnuEE7CVV/0mW8XWrxm37sKlLqJDSxQ+QyOiU7yR1aKNOuO8Sc4uae452EaeUBd
NW/TtF5CRTtZ5dbKlC9JPvm5AT7RM/cwyS6Axb6UnnMWNTGA0NO+BNKeV5VOwr9rxlVKS+cB8jFn
WXuOHfuDLrKtEKDbiT28TLkuaRSe0o0ZhdcszKVfkJhCw0/cPbmk7old93CCi6wuGcnZX8fIP11C
/Wg3+zqI2Mig5JKJqbnmz+6YZFbDqOhhvgq62DeSo9K7vxAnfrx68p/EySMNNl0W4SYawn/aQBn2
XEBFD8OrzE7Ybl/HXbyPqzsF/jpR8CDseuslm7/4AH71pv5+4f337/qTLNZVoJVMQ9MuYiruLV03
VsC773krfghNZg9W9wnkH+vZDoxD35Fl7kfsDFkxLOGouFwXav5Qas6ZqxuO4HyxiAzysxuZDnSr
5JF18uCH6XRyMvPFpozjKDPuBTxNRQk6zSk2Lo2bvqzQWJ1img7d6Bify4ICLXPOjU0cx6+Y/OhA
ExAYOYEnv3Vtsabl5L4zF2+Hlj52Ya8f8pBF3dR+Ici456X00Ci1teF7kyVK9oaItE3CzXKVDUWx
4+4m1jUhM18NFonNeLzTo4JQdwzK2AhtSAmo6k3/XjdAQJoqPiiTirDBfBhnBH+RHq2WrINKGdbi
wMjWSUtDoN1Zh3ROTvpAjnsKdJ9WBeT7IOWUFc+9wGgQJ/nFjcZdoaDcBTNPMFyENszXETUWZZK7
q2pOXF9lwaUi+xnSsCJLLBpuON5HFNKsxkp76FpuhIZB1cEMF0OrSFzLrvxkh/VFify2rmgnb8eW
lfuxt4iH9JYBt8nlRJTysZii/RiQTuxVd1XZvCPJUx8UC34UCkrEIRLXlrkLK/Ps4IP4i8ftr57x
ZRD/Tu8b2DD3+szTlpyLm/BK2+JueKKl74AV5uzy6lm/6sPKOspL8XH4FW3+p5/gpTjgO23n26Pu
GIa0dZ1owvKH++6byypyabw2tQuNIavirK+rLX0jmCWenS2lVY/X2vr83G+wk/af+B/Z1XQWq2O8
Da6oi83/4k/z44vv1z+MIRgvXcPmGvUzoGaC+mVKudTvipvKoJlWPKu/GRL4eqJ8/z1+suTCs0EC
ibKIl+tbqOg5vP3Pv84//DvgWEQyM+GRGT/9NvMRPw7kYF7e2k0NnFhZzJy/nlD/XN8lv40/v74z
zbyp+FP2B3d3vu63uzvmDFtnbyK5bDvUr/7uKKVgAwAQSRzus3AxTL7q290dswcCK/UbHl9IHIfP
wTc1Vf8FNRDoBY/Ov7pmf/Jp/Cffxh9Md4Zl8s5Y7taEfrylr+P7TxyTlCpGrZ4uowHZYStTbKOX
yqFg9V3MvO64hbaiZVNqkMKf96WdpkOB9SBhG2Sb6V2gk41zIR7vleydaYU2+YqrqlmXXvCJNtd7
aET5DeSlCIS3rW9xyULpNEVzKW37Parg96S5zvFYNNTBdJ2xcXDGbWDZcH/NpXWeyacdtCJrsU6Q
DWeusiFlJHQqX1XMq2zmvDO8gvQERbjwm2qYtsrCGQBaCqI6TalrilkXxqT0rsx+OqZWfHbLNjjl
cZZuU80jSQe/2sWnYGegl6xpO3oOifLFIlmzL1/L1MGPOrJdrF2uG8LUXjI2YZU9Fkcn6h6kDb4y
yMlFkr+s1qE3aVcqsV9RGEm6lI5Ehkve5yT5SMgSBc7sZX4YAic4V2YyPZItxoGrokvYGOWhi5K3
Npz1FywEcBcggWx7O6t9p8mYpKalsij0CrrHtEBu7EFoR7MaxdmKi3YXU+yxClVnn5Xj3LpZmNyz
V6fdZ3rQKrA/pVmYOwEz1bEJiVM0W6xRtm1W/Thi5pS8qykGgJBTqp1l1EFqn1RkvfRVCOBCGOmp
DZDWd2GuTVgOZkWy5Trid9fTfBJfJon/AV6PDMIatLvAG0sdeXtduR4RF457ilOwNi4NVh11Ksih
OCKXjpX4a91KObsYej1+CFAE8faSCaX/rJdeetbBc8gwRxbo2Xn6Xz+0/5xeC7Dnz0+v+7Io80//
fnYtX/Xt7CIpyCIW5ZGXHyXUPyUFLYNJ2F4SdF8RzL+dXe4viz+dpbEjTbJIy3/w29nFJshha4OS
aTOjC/tv1VrDG/1xWliSfN7CjibM5xqM/T+N42nBEjcl3n6tf1WvrUXINhZJW4H97k1EOJEH6Z7s
GbYF6T0FbY9eBy/Ytyznc5tn904+eCtuv37Xtlykqvhzp4lD09dnrODhWln4xDEXIMTg1kkN+RFX
E4wyltSnvK4PABvWxhxfw6Y55CyOaKxaSdV46y7AGN9PMCwRR/dFnGzmQfMdo/XbwS7XpTbf0PAW
rPGA3RFCowXQIVScFpQTahKdXnvQolix5WDIqWPS5oF9wlGWxdPHIVxW71Zy16hErBQuJplbp1wA
vUlm5mZi5BdRmUtxgIn9iSoiq7rqi+7kNsGXyuP6RXwFTFJ6iwUKI1MRXAasEIAjtBciepvG1eUn
NcHzGKhDnhv1FOviSwiPesWipoZ6lD0iYcKqpb2HCmWAHe5lykKaj/k7BCK9ULD7qUnKZtsHabwh
eMDsrNfWrrCCQ0A78kq5+SOLueumGz6yW0ZVdPTz6Na71uQ67+V5seqpRHLBwdWBdZ3CvlgtGmA3
SIGp13tKbG/bDRZL6GgnWhePvZvcFmAfoHySwG/m89C4YjME1Yc4ssAT6HUC4RdLQYOdN03bD9Y8
nAbWG6u2yd9LV11ocA/PURoSujEjv2jtzdAAeZOtvm8CBqemDh/0TB3QkulEclrvONgdOpAdfSlC
5z4Mph0S5LjJy/w4lbpcdYb2NprVabbpVknaZ/5/+6LEg272rguqO26ws7c3xNSzMwLcg32GIIWR
y4HJyefJj4wgAoravOey3ieO2tmsvEDYqHDLv0j3Rb2pSs5okfY9xQ7NvezVLrHSF3OSO2L72Olc
Cyw4IZC2LE2/KHICnhEG8Cbdmi08QTaDmylyqpVpeO46ndUFnxVSYR7QZTUZOz0sT6llcl1cGDps
Q810OCYRmP5ITVeK1iVhBqd2xgCO4cuZXukhV89AYQw/Cj0uSnZZOHd6hTsVwQ3s1a2ovPqumRZS
qATD3xqCF3Bkrzo9eE/D8S2wKH2PICsWonaOTjE+Nbb63KZoK1XJayv0dlqU3soqO7iIsGvGKr8a
HaAkTo+0ItTWtdoriQ7NX67a1I6D4W5M9mU7mpsoMGmqyJx5nVB1vuZO5rcUdxr29AkkHy/48aMb
sOL1pkd+0QhyCS7QWDsXdbSLUu1QeOBbKI8Ik8z3tGCPdIK0WoCOccE7mDO8qfZZ1gog0xT6Og7R
Hn2HuSk5O3GdghpCeh6d3QBpOq9yfiFPrUp209htO3cAodEdiMmGEI4df0LMjWLvQ47hddWo6NxX
VNSDxwYjk9t0BKbF3mNdDfn7tRl4qeO8n0aoHynbWVoXL2aXHAa1XIoAgnHdHfjdLighwsCNeu1U
f40i7DeJ+SDiEGvXpM4MADae2mJjpnwKBRz4epTeMhHeW13wVtssc70+P7ReSCuX0+9pbBnXWm3t
TQNCh5hpc0VpSmKLWYpbemR2l8EpTnBvMGym2doM3ZfM6FatjcjLHlRNYuc53Q1A62ehV4fAHLe4
Cp0NOhfn31hoq8ou74zOa9fxrK5NgYAfJvulCBHY51Vgz9hrFkZju3C+jjiA4VBai/9x8udZ39q2
2hiaPACV7v2G/nhOYQMCRXsSxbwUt+M0nMC+V+JzFjQ6VOfuo0H/6HpgD3WQTnhDafKqCsNbObtn
z6VWZp5BjduosgKRGRYyPIcqTDZwUjyUbavbkdm7MTJtm2bTje6574Y+gxRneQKwu1GuBhS7Rq9k
Lpra6qZ13Mcx7uiXt2g2HXMLc2KiZx9SI5j8sOrfk6Y7RaN4yrriALDrHHlkSfA0wrPSIc+rdyuc
Nl0nqyvkYvy682Mq9XlFSuyJE3jTgBVTWkAxkfBeNFs9j/V4IuNNO0GXO6iH7rqV4HvpPopG6zoc
wpPZthzj5nQIao8dvgxq8gl206RPfaYNqS8h+2+RyIe1O7qbTDDJWSyXqiGf/bGMvtBbQqN0X45+
o+Qnb56vpUIlYlwI6WSRW2DjCbWn9btDsGHttemljZk8u2ksGETj5zLRb8pcv6NNYVj1pbkao+bV
AnfdCljJ2nTd2PTH6ZxfyiGBUVjF4zhpTzBkHrIYn/NQGD7eatgt03Ddpygz5uzezwUmg6xLulsF
Bn9j0fSwN5ckjx30OZgRafTRX8gH+mJE+V23W4wqtmQvCqVQutzxneVu/p2Y0dTY5SfP8K7lfb76
ACX2hv6WVb72Pj3ccf05xpty3e7js7Ub/GiP4ny06JK9RLt/BtxfiRj/MVZxg0b+6Q8W60vw/LcB
lxCE5xkMubidPDSe3y/nlJYwXBKRFNzOuR7/fjknOUHhJPto0yEo+mve4tuA62GdcnSSzvrCt1yi
oH/jcs6F/+cnCBMO4GT+FMCaXePntm1U9KLgJACbkEER3oN7ZSPm1uklwctszs2tG83PQROsaFvK
dgPUJDZJzSqnz8Aqw50XZDic0/FRtRW4+lLdUjq08+jp6IJwTTobbF/jz92eEOVLGRIHCLeRG17L
xAsvZdy4a3BlHrYP0F4pRha2NPOXzISXPnVYeMzAfXFMQhQuXWFbc2hp1M33g26EvmH1N/HQGpua
JQX/XJzmHtqdTtTNFFR0dU72VGgkHHMl3uKqeR9m/Qv90hRjdtjElT7e5+5IzdZovsA3e6ZiwCaF
t7QbUAnQz5Rv2dN00hAgbMn2AZ7+jMcl8Uni8i8GzbsV0JvWz82r6qUvdZhBiR4vpAmS9XnEAnMu
jVeRfrCmG7o7FnTkGne02tuJF8HMbJUPnHIyGcrFmBPNRMz1K2MaDqrhpftJxibTUzzCo46KHlbQ
WKR7pO96kyVwt1pzrDYigD8lhDdu8DWxJplwuhs6V1gaXxQblHBob8EbceGeM3XbY+3ddRUopcrJ
+FHBaubNT89BVCfhKi+YHvLa/lDOippoRs2NqWg759WWbtousnjplYQTvcDa2c4w3fJsmitSvsIn
E8tMZdOalUHeCFIzvgSWSHyCqw1uKrIOo6KQqjAzkPw1VS1ovEawk2n3rns0ksPipDw6pZaQKrXP
Pdo+ZiyPBVwPeh4ECTckqEF7jINvnlZaq64ehk1R8agqzzzwskYLspLshimQwi3cEJgIpnjjScQI
MzNo1usba+dG9RsNOd7OWkwVtdKyG2cuwyM/uXmVBBCEXJozWLHFYk8Yl5+NgF1WoCIQimlT5UvH
SXmctOJzNTGUlQ2dUo211FG7mjoNvKtP4QCzw4tgDi0z6a5q7YyumchcBY31HnMTXplTREGMaeyA
JmqANtlv7BKPXlLluuZngSmKovKcmxBhXHrHlM3wYPZ0OmDd509Z2DSWdNlnPnPhUSW62A9Mau0m
YpcpNqPhjluv5075nmH/3rtS6relBN+BraZBXJkZ1YwKJqsYHzJNhn4mMmRwg/r5MqufJo18jZiD
xfs3lJuGPlKrb16oHHjOGG4AjmBCj6iJxJnLWJQIwjfOlDzJorxJ6ib+OHkz2+4ojM5T59J7RmII
oOAt0pFLRDBj8Vo49YGIzBsAs4+dCLZD6JKe9LT3IWkboinxi6Elx8zMPowIdDuj0aifydVyiHgX
fhSHDs2m5HOqdTwXbe4+4Cu4qWV0rHhVAmktrxxhvuq298w0MfoYym7amWCmq9S+nJv7ZvYeWQ8H
G9HS6Vt3RFwgbLPBiacdoxTRsoLUk5sXJ6rG18qN7kKhcC6EAUjLzKhPFnUjY5JQNVjoe9rAjqkT
XLvGcNFGejYpZnL5pMSKbpSRzoQ4o82eqOjnxC2Kj3baJvvQ6GMEys5YjbVnHm3SeBQiUUtiWvln
r2HhlgsSSrZR35SDds9kNOwS9K9jWHR8lOlL2KTT4PJH0oDLaC153pEzKSiH8DaXHm2zfFxuu+XD
MwvSYmr5pm1Fn0gSxN5OsMq6y0JV+a7OqMcJ0+2ahHIhzRq9XWXKaTMnkctHmzoNETjTbuymZBM0
seHHDrAWb05gdSrrnXvW7KfmfCDcfC3ItOZGcra6ccn4Cn1nDEa2IYMabFNzkV7x/u8yiiR8EH7l
XrdHa1k7reKIzvMgjvWdbowc9bS07aOcTy13imX1ztXOjhYqa8UpJepAkmrgb2qp3trTqR6uOiqK
dhRARlwsiQ/VYRuuyR6RB3KGf+1n/9HydGT5P9fyLmh5/67kLV/zbdDBQcgUw2SCMsdEs3Rpf+Na
SO8XBlQinNgASSvQyv2dkuewMRJwvs2vVWvfKXnO160GXWn2/4L5ZXiLUvfDqMxGAxlRkke1mZid
n5S8ZubV2VmdfRUaBPjpYqImhTx3VJs+xUn9TFo56HAdaOgtGUzawCkvk6BKa9PFCSvw1hLZxe1i
kS/dMHwPQJac4OaGGy9tAJsQixYdifNgZTQqtHx4niETa5U/i5A8JAKU5lWHxlTklDih7RGpxCFK
FWl0qDgWCaJuLJ510eG4gEDbFg70yKYHWtzjk1AxBZ1dqDWQm8RDUugXVfBqKaFkBJO4KybOGyk5
t0r61KoyPxV1cJbD+ETrGNYMBzZXVUGorA5ZHmJbDuFUxHYSQ0QEdp2NDgB8l1cPtGW8H+P8nDve
DfjSjtZR2tS6hnzeWBB2pKPIhwl7VMX0RV9aAuKu/9COFu/pMGPhISyfF88NV+GJ0rYe20fnsVDu
63ZtOPPo07yU4WDnojxZnKqu0Df4vqjh6mS9Htz+C+1Qp0yjEKhbyoXzQH4ZRyJyndVscUTuY4uY
HCuHc+Lq1TpW6glzZL5O6uHcdGkHjQT0P4PXvWaKbe10OhTagOoxAKeBCqqDiQC3Gs3yKtHLu7oe
1oFTnWKucBHGdTRBVkBOvZl4w1Jfhc0+6n00pFWfpX4WgQ9gU3E0gxzkBEMKzj/i6+2YrOiaS7fu
5ICxNAglauTyKDrFk4RHT4bhM1U8yRrnfbyjnpW2Jju8GR3sOXjA17Juj31HBVUt1HNYkoGZU+s0
TfK+DceNPVIdklDslxbJXVj059iCc+vEcFntOd4EDDOrykQsUmkQrQWIL+oZHJIGxluZyWYvK1zY
VlFeWZL9TUTkrDDSR4bYp5xXGGivay2qcJR7TH9m5iWE5pJtkuVPYIL9ZVDqhPEiqq704Zzu+iG7
H1PrUIQ1Xc1BRE7ZxdI0NUnPg65HJ/xWEmffLPbRMDwXKOpMxe3zGMDVNZsHs2FlFiqYxpF3nTQW
kTqmBKv9PMJixcc6DASTqWqqU4kBF4yM0Xb3kJLTVZlIijan8BA2Zriv2/oOpNlL6oYfa6uJsUJR
q+Ulcb0hySbXpuge+1jYLPQwkZZ2dKRY+Cgc71Mxg+sQYa2v9VLeY8PZxsp8qBqx04zyZhDxsBpj
495kdeq7JLpR9zRI2+YldirqiNJ4O8bZM6NcsSvk9CkP53GfTiEITiLCWuR660JLC5/6lHJLKfIL
/XKUqS3G1myc3ZMnJhhjkpJFMatzbNOkPcAJCfTM3Cz7DAqwIeM20zU4mTdFNGpVqvqqcpzHsg6i
IzoHiXI5vtHMe5eYjIg2e1SoyFx9mnl6H3rWbozNhR+Eurlm6nPXVbP4Eh28OkHW3WO/4dHBak1z
n1byAAB6qafSWptltEch/WRHbcFytCg2o+1dOqu+MK6+pe1o+OXIS1WlZLgt4i+s/d/VYJ6gx+/Z
Q7wUTqhv7KiGYotTthrlSaCXbd1R6329s+/MUTcPYbtEDBKOEqknF4l/cZqjHfPDCev3baJYmmbJ
IWrr+yCiam30Gr8YIEiUwbWtVQ+VGxFRn4i+iii0cfdy7tHIyic3Y61bdsugVD4XJWKlMwDNhfi8
soJBbQa8nFT/DE9eQ59vVzLZ9wVdbUWcUtPQGnwcx23adQLHnFFy2dJxtU7Rsz68DQpAhWOh6RRA
0CM7fxkXKroEj86dWcdVWj6pRQRnVn3STestWpjqU+oAqAezLpry1QO7PoNf7yUPQwWQvVrI7Bhh
iLwvtHa5cNvr3LnpoUGHBl1bWjhoGLz7KwvYO39VzKzR9ZxDgYcHgCdoIcPPmQOGD1Z8REFtt9Dj
KasZD+YClK+CD5GDkVCBms8JPNKQC31eLhx6op+PxkKmtxdG/YChzWt+dbH9MyUt6Yc/n5IOxfQH
U9LyNb9NSRY5C/Aa7Ce/zTu/TUkukQnxe7qNAeqbV2MZhUxPZ6hgIepRPfj7vtP6xYGjymijw95h
tPpb+07yGT9NSXRuwUQlYcfG0zAsg3nse0HRiLJKcl9vr/LUxpZeZjGKa05+53bSCbmh9XhRMNu4
L3sR0XncoxJYbLDkpqSprRjW5hST46rduJ6u6Z63ADO77NF41cvRrjuCUVlk7CQBpgXlbWZxA8k+
SPDgaoFXFnxK7M68cbrOU4XviKo3T6NlDc0IpahOmk84pRWzWks5O3rK+OvDKymS2CVN5V2iWkR0
dC635mEwH+uyokedAumajweXrDQBTFEP/Slm+7ilpqS4crK0u5N2OnwWhWVVhz6Jws+9qUZOYZEv
J3QJCKEMrhKNRRV179HeNqlCXbmDMdEapgcHgOjDhZ3KcCVpt/YZM97LgbKV1ajr6pMb00Satabe
YRm3qEq3kvYBdyDk7qiwXt0583Z9lA3wI0LucHO8y5AH7rjOZ9zn6SzJOkEHrCsxx1oo5wfDFuzG
hKJjsqMNy6wkAOmmyUFqGdSs8GuCZcmyhE7LZaXjeZH+kRqx+SaaOXhXqd7pn7mQWaeubsLDRIzi
g2E1BhKWDle/IvY+u3l33XXpKz/S4sCsLO9lEwscjkK4FxOQ5go8VnQ15SmK+2TFVxZot53nQXFL
Zs+9Yo1k7anPJc8+5QpfYzi9mkwyZyrBm6eOEtltg/S/BqChAx2SCDB2xNJw8rhkUyhr34KTYJHB
q/3GiHFFwtAuT2D4+xNrgiM0e+ZHV3O3tTWN74MZZXu3ysPjWMZA1CB+aZc4sMWREtiMFfLE7bFt
Ma3Uk0vTWkjPhznwFI0WFsnVrHvBMVOa/QQU47kUkX7WNbe65o8fbDUQTZem1Bd4khLXvKzGY+YO
ySGMIbiXWKuBNVTTXaTg2/XNwOwYd+OGC0WwbeqmCf1/pPavUvtyK/zzk/Wl+/wHTpLla76drKjp
CJ3c8HBqLC7EH4V2mw8FMSbsJJyWnMffTlZupoaH/WTZoRjwqL9zwRF7Y6kiPf7RV6Xd/VtCu/j5
ZOV7EFqG70iGzbIlgbgfTtasxeQ2lqO4bhOg9l6BiJoa2knXugUxIyuCsUO5LC09SgcC3PglEOG2
MY8L8gGpCeQHz7Z1VmruVqabLrg6m3mcIcQdq4uaNboWhIkW+Sp7mH56DigeAwgst+HgBe6W+VX4
VRzuuoX8C6UewghH5FCovRlHxQPRpm4NF/HVhk1SdtWjkmYFF49+YUzFr9nEOFU2lDT9D3tnstw4
liXRX2nrPdKAh3nRG4IzRZHUFJI2MIUGzPP48PV9oOzIioyOzLTY56asylQKShQB3Hfd/Th31u1I
byCNGUWYX4gGkoYwjLOiWwffGtxVO6gcuQbFXypaTUFVWhE1bV/sLnj1M8oJeFCocH3KaufkYFHg
MN604P/ObltrlH6E7iLVeWD4EkaMH1mGFygcAHKfPfpo1Kva1d+ayLqEZnXttCyTyzB5jIR+1xZu
uVRi8V4m5ggEOrjH/LWKiBR3FDAvsknboji+qVQ4kadh2nVpGFfjY0MRYpYHB25ddwTH7IU54Rip
hXpX2jFjFn+EloYUj91V7hHLfZEEFdCnm0eHNfnsDNcWlcmIZqhnJzW0ZehHl8jtmeKywRn2Uqq1
J/PyQ61LVN382pmiQy+LYKfHDccYt+ZOxCEfqy59S1gEY3q/yGWkS3vCYVQpCu6EnPmAJFybNsnW
KaAERnnjnFxRyk2aEznrLTJ5eeXi8avfRdVTCTPZwUXpEsbQyGQE7ZPrSoqPlMQuTSZWoS7DWLjX
aUigmaZYWvcSM1i2Zpas8zQv90FSnEIaA6lfdU6DUlBHZrnUFsvigyZwHWd5se9qcU3rAXFIHXBz
GxmsITrGcc1UNvEI9qjXumerDB+ShMN53bkeeMp8OYmQ9y3gzU3zeK6cIDgfYWzyi6+sJzYdOf+9
kSsXzSk/jBD5Gbd8V0E7yhOr9tS21nc4Fnelle3H1lwZgX6SWnIydHDDbor7QS3iL+rg35skGrdt
4hbwmmxEqsDkxxZXfikIOjpdt6gqDkydqt5kst2rQ7SpkvgmAu9DRdrToNZfyegX+DO1Zimb/tqp
qaWo50bxQs2PJnlIGhSVPacPY2OpVCzSGpEssesQb9FeaayhOK2VX0qdoEivlXTesjEoWtbXcux3
Cft4/ETq9ZAOX0Pea3a+pe/lVsTJXJSPel4eXTR2yynWcag3GEj911Yd1nYNIUxJySSx2ikImXeE
D5PKk1CMvFyab+1sXaoEyXYnvqp8+DlRmREOF2ITh82zE7OrzfJ7LZkeNKW58PPhtjQoVxzcYz0S
/eIHXgZTD5cLJ5CDcwWUkHrTuPqzbN3yFPDI9SL6o/dKIpVdkQ0gR/voqk+qW6NT3sMyuXGs3KRe
BVQO9h/6nHybf4WwH5MBtW61X3XLWFfSXZZx8FNZniFPUketNYT5CzuBjsqHWIIF9di3nfAaYA4Z
inTph9CixmC8oH7gqDNVZigt9v59zn4+ZzUOD3/9nD1EefATRXv+pm8PWra5s2PTJZhgCSgcfOnb
EUaovxGeVi3UbsoVBG6Eb89Z67c5zQRSA/HUMj+3w98E7fkEw0PZFtjX57aIXzrB2H/OluCIQGvn
36NEwrAsXTV+WPNqvt7KpLTN65Cy9fpeuGGaUZIiM+7KodLZeK4aER0bJ9EfS1h+1UYd0otKMTsZ
9zSjz2lsI6+1VZ+qFsdqql1W1DTL2mAUaDRrYn3VNP4eZYNSIJrFp+RSUM6INwWZOHweB9GCINOv
pZVXS2NudJzmHtOgCr8iLqJrzr2PmPLDhVQVEBzYefKYz7pIJHJwcxtq/iNDNwWSBeANydJxLpZM
UpZ42dw2ibZH19wy5F+1vKKDrHk0FGltZRhvIyPy18JPB6QtStL9vC+/inh6DnpqYlsr8z2tzNfN
CEuOxfGWbO4Wq1C7GOv8q6pjFEsVEAw0Gd1HgfIqjmUuj4WRLEeQAdxWJ5BgqX+nVc4lgy3syn4T
Txette6Hvvli0QVL3z0PoH8vxN8vRD6af3Mhvtc519wn5Hz39j//rf3xPX9chyAbNEtjmMRD8v+u
Q2Q+jdTF72PtdwMvV9snQ1OD8c1V9/3Aa3AhMvKq1BLjKpqv0V9wlnzqKX/SWzC74Oeei7fhN5if
xpPvrEm2VgaqFk7ttc2gtEighOPQnHP8dmW4GzCxL9gPhnU1y5KanECr7LPG6WYzSCTip0hQ6ncK
/aKrdkbUkGbDaUB/cKmYnX0uIRMO53wor0HjRHe0cAkXTOdkr+Nm9qykYfysA3O4yFwGm1L1WVAE
PDx8TAjzTkMYU7huP49nFQAFiM++knFpa62dNk8ZITsIdmM6CQq99M5CT12LfIy0fZYNU3EbTJio
gWr6MXTBIkDxJ66LNkpz2Ni31hK8TrzhwVithlmuxCKmrYaxmjYq48sDrKCOdb4rrWmlNx1OTilc
JPW0062KYIyvUHhllAoNiOVkHTvZhMWyFIV1G2E3pMnYLqkYyyVrQybf9jbR09pdWUaZnkbEK7Gp
bP63DJricRpmK01ZBUnMjBkW9o66U139N531f5cbT7C/vkSvXpL3n1yifM+3S/Qz3aBy6MPJxRUw
O7z+eFTq+MIIPIC00qHgf5/MwuGFTIkmivmLjf/8GP32rHR+s1j2cT1xktTxNbi/coly+P1h28fz
1qQ7AHYLvy/S3fz1765RMkl8GKoc/3ufBgcqvSv/dhyTvNpC4Ek2A7gYWuWMwKvARAbgUXZGDX/U
BLi0TXyQqZkUcNoGlYRTnDrqejYKLDC1saOnrs8xcWgMMSv6JMj3ihubR3vyKy4sdW1ljOIwCdfu
5LybcU/cUtKNjHlqyjwLmEY+Doc4T9eKQ6KCO0J30/bNTvSj9ZyOhNCbOHRXA/V4qVpsJ73cDCK4
qbQc8goesmUjgHzmWb1tJ+3abdx3qpIvke6cpsrZIYvc0ra7UYrmUQmc8pD7xaEK3V0dGtFOc4fH
FAuBo4S0CZj3QeSMC4JtIftDvWQTFjyxidrpTkmY2H/S3fRlrkii2a3yoar0w6YJOZUiEZHPBZha
1xwp7cI9VDpyTlKLQ9Kk1xXYGKoDA5AXxksdtqd2yj9a3mjOeIU3FQMt5n65z+zEZhJut6ZLVQ7a
oKsJm6NdjqlpbjoodeQ2W+4nX3l06vBCPNmnNz7edQEaS2U3Ew9qJhVnblwFCOPFbBnYPj6hWW3Y
sRWeqRPaDyQejKAMX5us56yKlWaJurWxFFgUZNc2mSOu8xJj29CmISSM+qH0Q2Ol1x8dXIWtlVgu
FiXgYQHnYB5XH8qIKAfK+VSlHF6nCKxnb1d3Dv7kK8VNt2BXLmnQbN0en5pBziNuS9szg5zRXg3k
Mwrx3gmMN5vNJJIe7TEgM58MDtBUTj+P6nSpIGPidHsaSggxdRt+YE2h8XdI3FXZxNcZRRVJM7p0
dmoND4/hfXSw1yuaiRG5DNax6F5liH2OLfja7pNXyD58Pa4pLhWR1XztcTlcsXsmh5Z1RHJaeNHp
cjClseH3p35ZaiMxRTPiUNtnNamP1rEpYibRy19K2FBgUezSRTK/4xM6ExajdolXK1q7BGYlx22F
g3fJIkL26mniYrhIJ7YJszvDpWRBC1JB7HU91vG1u+D6+Z4pKpVTHKDJ26NaULLQo1GblZ6g5kl1
ZejRuMuIwS3Mqoj2jjNOPGrNYUVraAtjGkiK2vfrgWpRRw1OhIsgegrtqHdVvrBd9yIbPNRNGl9X
Fr4BoX1hhS9vaw30Qq7FiN1V1px1EnKaX5crBwQNmwQ9oaAR2wC+bmySJGl0FvJI+xjgMuESSspV
uI5D11+jX63GoHAXuKyPiaCDwgXm2xFNxFoF3YbIyte6UzYaxdqLXq93uYVLyjCdvQKwaY/FwFkW
AG2wB+b1s2CUWJiUnq/I/hMsmGdZGi4oV2VrsVbKlF7udlJfK008xlnmr10wUquhHpxNPo3clZLU
3BQZu55GiVUe01WBKjn/fX0r4zjsA90PN+kwXEdzJGWYIPiQUQkHfmtVMdca6RWNFEs0x1mKz2AL
CZdZwfHGkNCL7nT8hbCRl6y2gf3IdUZCJjQjiAOzXkg79YG6A5oHSnUTkatRydd05GymOXCTplg+
QqTLnBN4M4dyZIdhjT7bjV+WW2AZHyiFgGp4eCxLBcLNHO4RR4ekT/YZ+Qn7cz6HgAojckkNEQwK
KhUnbvuF08l6IDmEXvg+zlGilExRO4eLAg2UE+XK/w7xnwP5/Nz+6wmBTiBagrz0pf7J8nr+1j8G
Be03ILiabVrmtzD2H4MCXYoqZTx8vvGEfyYkvx2qkQWxNOkq6t+nu/w785T1G4ASXbgWvvLft+G/
MMsbcyvAD+YpMtmuit/cNHm1+dTw/aBga4HGx9EsTsKp+YzNuWVtkJJ+jjxbiDHQCBsn61SXuzyj
eZpym/ApoyUmo83BoWSCg/K1zSQfQ/uaFKyXBl2yaWwXV+lcOcOI8CBV49FxWVE7jZSwXtoVBKA7
q/ZPsdrCh/msryli+zIGOh4lIh6lukqhgBRLx+RgoI3q9RRGPcUWRr8JufNCWHJoLVJbLhrNxdNY
oy0FcgmrHWQllfcUUbJxt4YM7dG4HiV3LslJBFJNYwLPwtzU9+o9FCCsL3LFyb5Ztq6ReJbKSIOk
+Wrxe7Lh4t+t3Hn316ekmsZhPnrHr27kOivpswzlsk0WqQx3U274u7TkNE5TwKrIwTzSc5weTFMZ
rvyIxTdRkdwz4OtEFRIjbHaN+rT4hM7kmbNLdZgQoqzuro4qbLFJdY8P7VRWs/SnD6ClomqtV35H
zpRBKFcgELOUrjwodtTcVN2xLGMUUVmk66lXNmVt7s1c4ATqKQObWxKpBl4AkdraOnFGmURvvaYf
g3y6nkTWY81hIOzimvGIAE9XdIskKq+60OGMoQoK3tjxKtPYegWR/EVT8MAo25hUjLCIFlmXxGcU
0XEjLMUUrCo2g2v2yq+VIHcu1OZa6HjOK2VTILxmWXTS0u6gs1j2MqM5VD2fGb9rzlVktQsn4a1R
e9mtDJ7aTY4bL+4ghetH2wy527qF4lXUxW4TLV8mpbKpY4U+uqI5TgmPCRPjiNc51o2wxNEtUxDm
sh9ROwzbE6R+FzpC7CI1qFWIE9UGGOOvmqC5G90xXIOkPwaG/yyrnk5cxdmQKLeWZqs+GFX1HOuV
vdTSeCkrjoJOFFywbl9pY7acgvG6atw39sf0UPUN72Fj7YIK+QBA3lXbNaeoAE9+KQo7nd7lmCZb
O8uWblI+YI4n7ksAjkJ445h3M261dZ+KRL1pzfrNKaVX8wwvp2Ad4BEvm2Hvtsq6VgVwsPA6Kor9
GDfXnH7PfZ4ky6oJO8y43bCzfPNjspQOwNDAFjvqfJuJLO+nW2FNx6CqOWcSIl4HoAYXg27xusam
TKnMsqdmJe0QB7p+rs2nBj85o5J7n7s8UOLgUAscbllrggfQFwECNImyrd/jsJJmd+Fmt6iHdimE
WS4w/PHpq/yz3rScG3QCu06LChXdcBbyfBncTiVPbKtmHAjHiNp0kHj8uXBhuYGmr2sJO0FPrE0a
RLjDUgyXQoSEYCX2dqXjk5OXGkdn7KHoQNkZU9KjbeQfRa2+MdsmuJ/SB4bqK1NLZlt2aSzNeVpX
a1hogG6/Op1Ca1ECvHF0uE2o6pkYLheDXWknloHv7B7GlToN712jkMCyxhuyHeVOz/tnrcjWlaE+
ysg+Oin8prnmgaYQ4AVGY2CuDr7ko9stoV6sS0duer9YqmV9dqP0oFKsNTW0u5oVDgR7xntZyRZz
5RxUM+8d9D1eufcQOe801RSbEOgqKU6tpGMrHleVIo4jl8GZ88eNKZstDq6IMq4eR1MqFmKepSC+
C/T82bgALr9NGsNzo+olrGgJaSUCOXnsleYUH4H7GpX2DTi9m4T3hOeAxmo+R1tPnXPWijV8Jf6K
/Vyn4CNW9dMQeUMfb8KqsqEepUApW+WNc+TKcZI5Ih/sUzO4RoZKFlYX9QdD0fIVf1C5NcV4M+sQ
WlZCB0QLXXYOgdQR71Pn1MEOKdXzlWXi6IeQaJPXpfYzrWCwczPGnBEpIyDrqYTVrYj8DfWKNFGE
VrdiicMZKmheE0HKWmn0TW3a06KvKoQzJiQhytvOHK/Ah8SeolebjiISMymvh4JIcKkNVK2MN6os
VuxK5Zrl3KGo3K2iKcNdOMluPXTiPXFBCjUAMjKqE+DtUvzy7zz1+4KTFcRfz1PHl7f3n41SGt/1
bZRCngCoxLCkEZKb9xvf7VyoXjSYogiD6YLQG1/6zygF8puKRZg4sMc/sePfdi7Wb/a8a3H4Bh1D
wK/tXAyLKe+HUQrnF/VCQCqA9zvzD/H9KKWommy4cIKT72bgXfEltw0CfyprotbplzIhkgyZezlF
cm9jdNnkWQDKrtuqmvZuKD0uadfEUTOQebLTwwgEZzG5MSU6vUpyVrnM/LJFW1Bc4WQpZXAcPEl9
uCsjKl+1roxBp3XXbUfpsNY/WWn2oeE5NAU8Nwo6ny03XSrANB9A26nbHJphkA2+Z/smJs5WK9Zd
B+kp4v4aaOKJqy5fVpHBp103muWgWMYanvlHPzTv7F8pn2dTsnIKhg6oo7dFEjK+5S+TOjwoskLP
s4Ke6BaE00RhFLEUc9lZIe+AG+JntYuvjhm/hnZ9DU8bzXrgV+xq4mhNqZ2VFGtxSoqwnA5xESFG
1KYKQVaczTg+q7k+LqIobTGVt6OXEn7csCKFY9AMr34TY8nSaFVMQmJzU2gitKjxXd/LMyILM4oK
C6jR8VdSAXTbZD4oSu2CPbnGGm0wL7rTIUzdfdiOuO1DFSdFSHyn7XeBVsYQSzn9IYhgr+1MLOHk
HOFlq9N9kxTcxAqTUEFrxyxcWn3PAj1eu8n4pvRS7oM+ZK7JVU7hWewQoXGUVRnoV1al7SrDKTkE
+v5FKjltO5QDrWWABuqmGQUfSmR5eZeHl8JihJrLYyIbqGP1LNkjb5pAB1ZUhthaAzuCi2msbeQa
Nt+93Fq5T+d0RWOOnTPsBNlr64aZR+CNcIBCZ1+aA4sbM/8ZH/HOCuryGCWlXPKPSqJlVCNH+bgk
n7+KfI3JPbeavRDVDSBUCBMs7ZbxaPKB7BDmVNpDtzWEcC/opteuVhkSmw5cpWLgfEjyGW1S2Nso
FljKpXNkreMundF6r8ueMc3VrvOBZ7/e8lGGcTougz5K12UAp5kiw1tylM+9PRcQwhRdNI6dbttm
pJcnGG4VOcvQUFCZY/HUZGh8bCbZ1nQ9H2PXBjHAmqwyUmOrZOaTG4uv0D83tjKCqxibo0Keg/eZ
kIAxYGIIq6/SNWansc3IlzeudWFD1xp7bUImBVg5e4bH2T2sD+/M/19GmBVrAaQemDBOY4nlWM7e
Y3vInmCiN0vfYRb0Z4cyxraHcfYsW7N7eYwU/IazAWd2NgNP+OLMXucB0zPOcrZQsw9amx3ROK4r
Ary4pKWZ303YpmuLEX32UePL+IgwVgs93OXCOdA5cJkwXk8YsAVG7FAJj+rszC4kQSuymsYuq40b
tbB6UnQ4uYE1HJzZ2w3Sa0dLFG7vhB/cDbYAIg6EJT8sbOEQauZbE53efib3tMW/iBl6WGmYoqux
JWgie2sfTS3O8GD0O4+xpv1CoKAv1mNYGkQxlLq41YeueSjGcYDUK0rmA7Xp6y3sBPMZY4q5b5sy
Dc5pkAbOrq0U49kHG+8fY5PFdeYm7bJz/S9aaFgrcxR8NHzCbD6fl61RJP1qiFnLDHzuViZOJnAH
6lNndNsJUBguFGsbWpNPspF1yRAF+YIWh4sDZ2DMAbbQSDJ5LMvPqRWAnQTAtsrKiNtTkgo2UfFH
UNuXmoPpVqEGVCJebeltSz2b2Qnm8Vsm+4fKLKY1V/HG8RGE3I48qjqdXSM6dInENVGqL+BLMP/n
Azba7EYbtJTKSr+ZZ9uIz5p/kokqPNnST6fQaLLIOWUku7wQGMP0/MUuevLYoqsxFEVXURJ/FTiv
KN4laSGovZXlYnLMjW8YXIcpEVdboRV2vMrhaGc4jFh15hOHAfpCe+cUaGa07mX8YekhjSwtgFlm
RjuNVhrrzoXm4IVM+4qtZDbcZpM+YoHi7ldnWUDcpHQ4V7fZgng0chmSmjSyjd6rGiYxOn+FVd1E
seku09rGmVOdi0aNPFxm0NfZ8VahuDZCoiBmoKzNuqZTzc4fEquA4VBdKxaerEK1vsRO/xoPFoWt
Y3oYYDUsYJQefLrdzMpZtGV0kmaReaK19qXvs2+My3XkqruycZ6xsBHMUSGCWUoBKALtIsd26lGf
u8glQ6hp3xKQIeMkjHerd+v1MHGz1TmixHA5FizpCQPJcV1b9d5oHcJLEUf+qLZ3VA1yf0YdSHoI
N0p0m/rZS9XZO0EqO2nlVV8oD4nOn1p1qlXdFS23G4pwteA9dt2tORS7QuGrful8tH38VjbaIRP/
Ahy+CeZsqv5unqRH8CcSHt/0bZz8e0DZp1OenR2iCwr8f8ZJ5zdCjQh7BkaU/xP+vo2TxCQ1wyUi
qUP4NSgb+BUJDz3ux3ESR43rWga5En4K/sE/j5Pke8ARKOp00rPwodKZd1LQvXQBk/nWpmztVNZG
40NkSrJro/tAOA8NoKN5LnOtu9gxjnrR7oAArSg485ulbWcIFxG08fu0cLH1C/USKHm9a7kRutRK
x8pXwbZYcJaegSb2J9zE/OSczMSTZmafZDMFRZ15KEVn3Q4zIcXp5ck18fyPMzwlxM9ZgVORYFWw
t97rjEQLdSauqDXzBQiWMHL2Go2QEjRLPQHnmlktARW6JfAWbgsPom+gubRcWT6Al76sqbT08w85
s19CIDD+TIOhTVlnth1POEtfqpRhwfxkxwCRqWaaTKuCdHdHZxWo0GaY5IjtkcLAhK6ApxlGlkho
Jgets086AJsOkM1EmzfGBhvNB8aNJvpD3Zdfwhl+Y9hYGVP9kmDZw0b5kER4zGuAOW09rPuZoKP5
A8+K4kOo2rKvoxsXGgM6R3ZVBhmVuZKy6+6gFD1OUUZSVZFso3R4RhNcjoWiJO1CZydUNQqViqHl
0Qkulr6A2GuCtT0JyRZooq3B69uB2r6CDh63jkEKq9yjCKuunCSZvHws4UOo9msog32uI/O1fqwu
mpEmAUdwx9K3XVef/BR4o45QRaiirspFblldtmlNqiUXZprt9Lb2msY8tiORPr0QwgNTsTZU/2tC
g1ySjsrC6Bj88vElsAqipTyLgLkBpyejPYQINqGuvKisN726b7m3JsDWEWoBeTpHBPJ+5ahNtxZd
aF2lg05rY17fhg2bWtFSDqyJgLYF242XU02xN5lVqhcJ0aW9vXSY1jdgQdp1yuef+mmHm6qxo1zo
gcKSrdqJh6FneRGEjbpsG6HB9hXxVZkXjHekHVahCewDNJ6yyMfYIJCr+Bupaep1OeriQsko82nS
wzkp4UEH+ywhZjZW4gUKq4nEJ6MTkMLBc0mMSIfFcMvKUwMF4JlD/lU2xVr00WMRKMRpqFUMQv6e
cSrTE1RD8vjZ73iev2Qez/eA/1hxHBOIIXcbTD043Gf3zw9HzlIf+yRVXO2UZveJ8WZSAf9PYPSf
vITLaRt+DHIhhX44jr4/1coyGJsYq/Ypab52yVmWd7l79e/O43PnIf5WQzq+52/Fa/TT+P33CpKg
i0cj3kCSfiZf8qU/FCRj3ojgKTRh/RrU8fzxnPpsaBZ4Jl0+lxi+ZoPIt+cUaTSo1CppChYpv/KM
Mq3ZRvLnz58JGYC1B9ZPaJo/Mu1tzBROJgLlpCmp17XkGlRjeveHEBKdmYLqAdJH7QZL3Bnbp0Zl
fePOLD9h9wrwB3tm/AWfuD8XuXXZNVr9hZMSOEBTcWiugpfC3g7dNq5mLVc4Exv5gf/Gc3hjOyrW
p1nzxdgJt6RU3HWNIJzD9XwNKjRibNLluph146FDwe5nLbkt+P/qs77cJaJ+RjZBc57V54mywv2Q
2/s4rnXW4fXODHkYNojWnei+stYlWDrr2dzpcLfPdzGkbsqwXaZEcxW6BibyWQ/P6jhYIbmxgJSo
IsQDaFFOALZTu0jClcJUJwCzJmadfdJRTNqxOcdNrjNotulTP+vymkYQuYmQr5PrqArCJaPChbo2
OASI+lKdrfWUtw9sfho2+JbDs99oU9ST2RNgz+6AFmDwPv90DMzeAc5u6qr5NBQQvx8Wzuwy6Evy
BfxZFGrg8SCYmBHittA97P77avYpJLDYLtPsXcgbI7mM2BmK2dfgzg4H/9PskExTtFaUJU4bT88x
cMezLaKeDRLTp1diHA1ogZ8OCrIZUGQwwfq3Ji+76eNZ6+ODne/yuqd5rcHb4FuKc4wMkoELeuyO
CYWpTn7Uqs6/aF34lIamuQhz6yWoqaEYQBuvGMueEq0NVn5LFMPNMq9Vgqt0DrE7sTylHPXpps4+
wslcwv8Hn4ehxMOrbqPIOYDkctABSm/t6h50JKqF5kGOuQ1j7AAiyzZGyH+4NWfN0ezwvMvZlBh1
WIPNBdw/5LW6H4Rx7M1S2UvdxtGip/rZNOeO8ZozstqQA9E90ZCqK+O0vcJNy8KLD9qpL2hAriuz
OlhGUSyVguI1TI8LqD/dhtTm8/zYI2CkwYMZm/0wok2kfaCRFvada7xaayVz34TSXFlxdim67t5X
9GNT2uQShFJeSyWSOzG7C4Ni2iom4wPCTXqnxr7Psv69VcZDlNoHTE1XMqRBEFjrphrlyuIcy+98
cmR+ZWbZM7LiwdSiqwzKlxd1pn/MHRYbmVXq6y4MbkM5BnTvpbs67rdJxR/JCe19OSDpKLENZixx
XoJu4Aq0otPYFzN4y60XSttnsJ4rT7PSnUvkA5rPS1Y7i4EaHIwUH5ZN+pkKuxoPKHW6SIM8ZQPB
vMijNyzjnU2S1B1Gb9DaT5oHhKUxvXeoPxRGdw8U0kEhdQuLvaxr7X1n+kBWvTGnbmfTr6tn2coi
Ak9mczwQyfbivn8JLX1j1T3CYEDfsemcmyS/cQrx5oIloFNQf29deWMoo7XMqvIoq4k4oeGV/I1p
KsEepbUQnnpkPZVyPz97naS8G+bPo5bEu7oLz1MxnjIqyvGJwbUtUAMLFBdePjXVS5aP17KSnqC8
J/e7peLUC1zvG7qbtxRvellJ6XmDCGLOpTcierUcwlhKuVVwLCWhvZJlccrhVK1ytdgQ4kUB7IKz
aDHQ9MF2BICQFcoVS9E16hqHVoEiPAILyD6EITwf0APHHM9vU0AF74Xf3YytzSdS3UqWtdGQP5qs
xQi8LMnXrXLGRcMXJxaxtw3IIqM3OdGPUAHcuzQGNemmkGELSgozo/Zc3+UT6CvoUioOguxDUjDA
HW7N1thrQmdpOVi7gibcMb9ux6l+VLV2P5nOrWWVj07Y3AS9vHTZWy7L90qlTjgFxmTr0Rp++roB
fZkE8FpV6QV6eNFBoxe9fiN8tuEKfJdaXajQ4UtV3Spuv3UaBW0rvY3N4qo1tfuan9SmgXlhmSX8
F0RZtVtzKV43rrPW9GYPUY8XrFZByRs25s0SeAMYKEO8Dl3xyD/FmhyrvWxI2HElwV4PBxJiw0uT
NwzhygEo+25SbPRLiGR9naxDgOiLsPTR8kPJMG3ZG9H2X7Iuf26xHcrS3qFwrMoQ+1/R1tvcgTww
ZgV1ji7xvP5xqNUvRR3fFIrG1mdcR37Hewe3Jm+3dmvy6bQJF/QXFOJDScFQr5AsjOytM/onX592
uZHte187AtB0FnlHDzb4UZjtLFAG0JwO7Ab3CmfYUwngRdacSWCT3vu1dWnq5pQ35g0mOnVBjBl9
zVz2JWvLOcqYm+kVIiCh2kpdDOzz6/lGNRWPMmkPojY3ZUmBPaezWB+8ZpiHnpy1Tn5fl3IPde+g
CCM8KT7njoAJ+7ZpjNGbRLuvWYxP8ER6TKaKEr+xHb2P24zNCy1JQJDbJ4MONkG+IS4wU0bam5Ux
77fVY1KHO0KhJ+630UqtEw7QzcGcIq7LlFzSpGpPodmUa1dP7rK6JV0+JhvQ3Wf6R2MsbZyVCiiw
uEy3fmJ5g1BI602F11MgaANA9TQplklKKVOYn1nybmJ/3I8AdUqFwrkmfmlJP84hEK4AQk9xb6+6
LljVoZJ7rKJZG3VelvKQwAe77RXnre/NNfnsTdDba8rhV5xjuP80bAWDcQLnmx9kixzfmndoLTxr
2tLLm4q4XuIp4aDsc1TxUmXPZXBe1YpdqrTHSRmemrp8RW2lPwvguJ+Ox97gEJepPP6+W7ucf58F
/yvvsjNVcm3zP//9/48PoN41YbF3J5LgmrP/6DsjcjvUdd1FuXJSMxb/wF6SGyjMi79/kZld8OMY
SusLxzQdx6AufjgGoVmpFrKhchqdrzXL8+5pRNOmGBaz4t+/0s8G3u9faf5Jvvt1Cr+Q2uTzSsK5
Dg34vra2mqZdYT3E3XNUWL+rwb9wvuPd42qitpJQFnrRn19OoAU4floE5155brtDFbzm6euv/0ZM
ywzLvAwxvB9ewgcVorqyDM9EOuNh0+H9SoEcZsEmYt8i2n+ohP/J5wGTGYcWTqwcKK156/XdGzjr
R0KqbXQmrraI9Ar01aZM/uF3Iqj24+fhTy8yf/27F2l8pTUtnxeJa6Kr9dWM5fz7d+2ffo3569+9
Qt9ObV9j+D2jl+H5AQB1h8XiH15k9t798LH+06/xw5+mTGRS9lkTnUcFb4yJd+NMYIYb3JNJz1xz
EjA3f/3XQredecOgCa0fG3+SyMmiPNais11daDv2MEbY/sevv4ZuqRb+Rj4H1NH8+a3zTV2xnL6O
odeHq8zCQ1x4Q3r/9y/ys7cOJC5rGMAYtnB/eBHY2rYdRWPM3+cpt65CTooxNwPXvyVQayCkDf7l
719x/kz9+Mf6/hV/+GOF9KrUpSbRp1mPkZojAPIPNwNt/qH/8xL/y96ZbLdtRdv2V+4PIAPlAdAF
CBYiRVGVVXQwJMVCXdf4+jth3ziy7Egj73XTSoZtCSRwcIq915oLyh4cGFPHwEVqLzSE9xl1TQHi
LByV7BQfqNruWDzPEfl7xmV4ZbjY4deWK60//lY/X3IpMHEH39zHd/MdyoNsbMs+PvWCpDWUXCqu
I7XYfnyV3987nVvCyolS9t3TEjOE5ZY4uRMmflelFWm1n9y75e7/feu+fw90I4w2m2oWJbqfB12J
MxR1hhSfTI6+k6Wy23yMAMEGcfzJd/ndHXt7pXcTHFXVolZMEZ8UcFHWpeFfV/Mn09vvL4ENF4QF
b5L5bqhFStJb+hwkpzy/gMkJ1Ux1wHB9stT97hVisP24yrtHn9R92E4BV4mSl1QiUVLyahhVCEGT
9iQlm9T45Bn98rVUGYQGFU0aLnRS9HdbBVgtZpmZyBjbflPVj4PwqvnqXw60d5eglvZ22s77gBsa
VukJWpajSPjzUMX+v1xi0Rph5rKps/18iXgcMynlpHVq0hdp3gk0wx9f4JehzHcACkXV16DwRsDc
zxdg6jQHJUfpyD4v6xAMxbsIyV5uf/12nf9IXwZP/Z87hwis86idfu0dLj/2pnfIFEwAzlIVxw7L
M/hRk9X+EIjUiCL7ySevK3+w42HqUXT6OhhFmAP/Ksjaf/Dn8JWWQq611GX/TVHWlJdB/Pdch1Ge
040NUVC1+c+il/t5gEjQiUVVNdkpV0odxNG3AtW08E0Nyo9L6Woc+95yUrN8QXr9OBfIRAjauKYX
gkDKfJ76IfTKLqCIh761JPqShNB01enmUW6BeUox2edFCZPUL+yes/4UrtVSdJxig6Mk+XSpmDvc
2C8uGhI7JUGepWEPf+J8LbwQv3tnk+CBjm0/6nPqaGjcJMQBtVwYqwKv7zFsEaaAtE4RatR/widB
cNDVzz1tnzlLpg3LyLM0KutwaDn6j8HWhGuWI//G+LPg66vhAXXVbdpOgK0S5Voz2vvAQkNLe9HC
gqSJi4B52mP31WL9T2p8ysGTCTN80xj04yy8QFCLLwodJVs4q9cy6FAn7KJLisBnmWx81Vt0DjWn
enQdujolbi3h+bfUfW23/Gt7m8n1fadFu2LsxIry4n3RiHs7ftYGJMC69tLY9kutNhf1HN0ZxfiS
6Fa2UjV5xvMgThIfFvfXsM1C9EFxK+XOLHX4hJLoGljzsSul44wdAGwXc/+kwoNGC5HtYoVJAWob
JTBZPy3Fvn21sOANibZmgMgnDkWwiaVOrKsgpf3XyZ7VjLeikc6wDkKhMVvSTCGWUkW9KCfddoGP
WLu6zFVQjsPGQnG8qpfQkXJKrU1ihvUqlrPeE70/ekZHjRxpf+iak7qtg+GLb5nrNOpOQu4uZCQv
riTZ1abWcxeCmuUESUICSIAzsMXABrkL9Khc7zKJ6PZapTXHi+a7Q9HvUVweKR6r/Mv6OZbqK9Eb
J+KsdkFMkIxQ440eF7dZq2/txbyXzOK2hYIqZ8GXpmi/suWVSClSC8fohE4dn2h2q5vv87gqSRYp
z1h77qSODXXaDLeSzTmaH01R+EqVp/XJ9SSpE6obQWNYgZLTSJkbFeU5GR0XiU7xvZ1G1bGKAUFW
P3ijNRYXaL8C3pXaogwRUVVL7O3QAqZJtHp8an1EbnJTovKuG4KGkviuS1bobm61VkkZgREZ9Aqg
Cb3vXKs1WwrwVP+NoS63o6L6rlbIezi258B05lUWQ/CekYhOQO68Ka9mtHnZMVrAxZSNhRtpWu2O
wbzUGp+SsYIipcnXunYmTa+JvCBngvqqMBtPm8YYngaYWb34IgvzldUaD4ipv9az/GA39gGqxrGc
pmsV4odjNFLoiSkkbTyrrsKueUqx+SIE25E8fqZ3Nkkr+HeoVqDRt9Cf19b0qjb1YyB1+6FoL9NS
Okf9kqwpL6xgIp1rNm4NRUa3ZORLGXyhHHV2iNm2bV/LhfabYp5cATZ+Igr6ERwjDe5CStiVjhiQ
B0uctYtXuaGDhBEJ65FiE0A91fiQU/HSYuh2wJ9EKybkfSPVIx2lrluHc3/W+nh61Tq4EuH4RBQR
KVh6giunalKUmnSVGx3/NEeWinw0tw3H69Yg3gC8sJeOJFlWSaR6eW7UvHQFr4QlztOa+LZi9I9F
quFq6PzRNaXgGjM0fRT72vb1rTaibxS5jVZtSq8wAB6DQKnWQWul9/WA19Yf+oMkmypK+OXFNuI7
2rU0x/ohWTOtAtFSw+cxL2i36Wi5hvyMCf1q0ot+W7F9xzDdXZY6kQrRUp0zLGsTkttEzUrDYyk4
uFr5WegD40qq9NCE/WVkwAJTY7jKJIPTpKsVLw9Sfrbvrw1BHPecd894gDrHLmsK+7kauiKuJLBh
0iv0CtaLsI42BDhegtV8FhrvdpXCq9UzS6J6GgQLXzk/yjDynbqo7hULgklrwTvOplHQ4qLFB/kU
UDBztlHmMipUmZZ/Wzx3Nik/JQNp8PM1tS/EkTxyh+WudgcNt2yLyXht2wgDRR/h5daGrR3oGRZZ
/F2oUVLuUn9LpfVyYE1029gquDFNTD0a/3AqTQw3y0xozvBnIIqiQynNAyz8+HyCI4yRyhzcQMbE
LSXi1minTU19zyiMUxyUX0fcFHQn43shKEUOtbRkn+cH+vfV0TRmuFJU7JHiLprvXZuWVM4ntfMS
Sy7uUbGku2aubmnxVSvo+HfSpF+0UfvnUKVr249vWexlkNYNskXL3jVRcEE42I09J1tNolZropWA
KYl5a9KHLQdtIuEnKu892WWk8yHzNs2XCOnLKqtRxIHQRKlYWFeKn1UedmjdwTybe2WZRbwrnb+T
6+lJSAyGNuxV4t+tmzEnKMPypbMoCJ6wupL9DX9tjMtNURG3BMDihAhTIWRCDjwc2S9lPOqoJKIH
XQZpHFfiJHfiS6ELrK7puJ0D7TWWB5M5VqFfRW6pZ415uBZmumR9ASeXqbh51CRaR4kmmxxY5UGA
68KtB4Cn5MHWMMxX4URwTGxOAzq/+EmGop5E5Gu1kR+7VQ8HvE+51W1NNLjeuZ1mxG4nJ9sYy4cb
Waha5BanSqUukkPS2D1hW5SVJSTDVlCvscrJgHX6flXQVygSDg+TJO5IaFOcIPANN6ukm7Aebmsb
y1oeYQAe0gPdbLwqHWdZgB3kdOjhdStAkPtpi4efZJNMtm/1vDsFKXGn2KMWBZFEXIrgfdLIjBwD
vL941nYSOydeyFim4tw8oyg6jSrrOXeLJQTcj5AHFzDn1wE7kVSKVyGTAalZLAIZDqLETl7NxZmk
pupLP9V7m5UcibLx0pDfQiwtgK9AOUP4mWOxpAw4iuQuyCDWVSN4MasDLSBlxEg+y1ZwYGNAhoYO
YFrp4rPSqBW37OL4SFg8qV+QsjEAPQQSzq9siG+UGqNm2UlXJqI0eqnFTreHu5E9F839maBdmgVe
1WqBi3GMynZS8XXoRdPdrtEZF/reqoqTZU1LziMNIt67V6GSTcKYwdKcaGu57+7LfrH+1wrcgRwm
6aSdayJqvdyAjYKf7lpEPCPDhMlchCPzdJ2fgxvMEXWi6LbaF9L4SMKM2rtq/MYEkG/nNDobp/RG
BfC/GhqmVFN+7nvEbRYZYYAczGFVpN2hbOp1Lo+WI09Ny3QoF4za+KvN3hgdFADDMf86Z/XZDAtq
oaPvVDW/j2KsGmZ8W/b4sBp2eWbC1EdeARxZm2QUODZ8yM7cyGP9Cj21Yg4eH7SMPV8fK25EmGdH
x9wnACRM8iffSp7jtkNiVIFFbZVVQHyg3+PfJdNkS/fnagwVbzTAc/tVcT029rbU7Z1tSKuKmkuL
h2miOuJMWkjOYepFdX+oCfXtonLpRvbqWRMroMQDU00u03wW91MRCetYSSTFXaYG9aEVQC23M+h+
/3cG/e4u58T4z2fQ6/Yph1/71DW/HkN1fvLHMRQqG6gnAQ7qL8bpj2OogoVcmCo1w+9H0R/SIG0J
0sWmZNvsGVRsVOrfJ1HzD2UhvNmU4iBZLz6qf2Eu51T7/iQKCQKHOzwq+sAUdt6VKiRL0pJ6TIuL
bhLJfB6rpREfFV1e4Eok6J5YvfqWhpdxNDj/4TZ+0YNw8Go1u+kVHNeZkh0qtX5Ip+IsbfKrKItW
rcQmXov9c8swzhGDQ0U0h02g9cEK/xCV3uEOFvJXO0I+UvRqQw6YKC6NYF4jaEdAyqGy88OE6bhD
cgnkt+0kZxQW5Aatz5VnVYodtvBBuh6C3lJ2sqnV0ZmaiBaqiiLRR5N70sJJ4dTIykECQ06m6Mud
SYDOpjLtM5Fas36j+S2WS585sIPTTMrAoY6j5iFm27Lq0IWqyEb7mF1kBx+fXKvYTW2jQbpT81pC
s6hjYiHMfvaqOpArL6Nej2FnGJ87sURIpfmdWZL62IbLmcyuN9gUnkq/8FfmUMFPtNJhrXUFrGS5
QnbS0gUMI+ppPpFgtoaBo79VZf+LxIzUmtJVb2Zu3g87fcpXvdQexsG4sHuBW78Ubp2qV8QcPHF6
36edKUG57M6ZgOCKIDlA5FE6eHeu+k7aCYUNsA+8NShfVQ1iijRsmVeJu822gV8dSB8/Zup47Ir6
mRnzCobfVo3FbUIZITRoquKeE2FPbnFaXqflzAYmWqUwNAajuapb1BrjsIuFTogJJFDberKt5iyN
B45ImaZ6sf2aKxzrU3HUhs4bCCDTyxk1TnPuR80J78hD3bAqIvsoJXYVZngkdQ6Fy+TYxnxE4rRt
RvVuHorzHs2Eni1AV2Qd8bAm+etIQePYaPYe9j9bmvaMIOVNKeRH1YjXVtSel1r7HBQ0ipdHH5j2
jc7iGCFYtcR4UHoWiM6Wj50aYiCPj7VQLys2LO0s3Rqhtkvj5QmTxlEm2a5RlhxUi4ZF9dXWG1Ci
6R1yglsY1ldtKK390jhouoWGNjvKcZ9ywFEOgz4+93wI9EwKWlXl4PegdkxAA2F7CEySNyMCPMdw
VzRZRcRl/bU21aveHq/qKbEdP+iNS9OoN5EYwqPw9fPJULOLGv/cjgjWaoE1FRohN7jZHGOsLmi6
HgaFIdUtWW09rvdq8b+XGOEnDPGIFFZAhgmwDS7HxTE/EtHXp6m50jDTt/HE8MNdX5b+hjDpaS1p
PpD49HxYnPhwym8SrPmatORZLG59dfHtK98c/IuXXwrr0S17KffUUDnH7XKlL85/LG0toSo8cchC
pxg8QIOrjw5GsQWpJuELNuPF7nROjs8G671rsGOTB+xCjA6elqqyjHegCDCTuTlwAnWhFIRTs0/B
Fuh+ctDAGCjgDDK29OXCNwD4/sJGlIcxSyt1QJUULzSEqBWXRmrtioWTUC/EhHxhJ/gLRYEKGtYW
fOJqCFErBrWQRWx4E+ALmVrctwuNAQAXu7lsPsLMPR8BNoiF3CBZGO3LHIJQhBMsj/srAeahRdgk
EQBqSV26TlEcuqSdnEMkmWD3MANQki5deyFHqAtDAtlgtY676VAsfAmhRRcJwIlesNMLw/EmEAbj
XYmcHDhFbyUIxrk14cKtgCV5ay8kC3thWugL3YJInnQfGkTa/rf2f1v7wS9+tPY/5f/jgIh8qv/8
rTR4+em/1n9FZ71madWX1v1ScP67DL2EdlEGFbqMipHimPb3+m/wN7YGq9ykTvAzKFL7w8K5vLiY
/4/0+m/Wf9pr79Z/dOmLGcY0EBpjqPlWqX7TJbdHQyKnQAuPUkIGr9FnrWfNk7YTPe23vtbwT7ZV
S49eTJLJgSaZDYoOQ9XEt1OcxMTRod475rVKAnmFEF128Fz1lxR5iumpU3SFA1AAfbGjLJj2bC+c
Ch01HjUNkx/FYFOp5p0s23XQbFpASuG11XL0qQ1sEQxuEzHbHMzxTVak/a3eQq2GvCIj/KQgQasz
jsN1WVIELGBzw2GN0PLBqPySK0ionClu+y9lZi8IOaOcJ1fPZ6x8UkNEMzQ566QlfcmuvYofOA0R
dG2jUHWUPvUvqOkH1N+tODqfGw5ghGHN1AqtSPiuXahkMMmZS+Jedy5LZnY0Rd5fZQAgcZElZP+A
o+y3UCsMKkKV9ahS8J8JQ7YLaAd1JygwWJFBsDmapiuJgsQMLCuLtpjw5pdMlZaEdX1qcneSK6NW
AVsbMUlDutYlxc7qtXZj1DyQZgUFun9oo1pRiAMhsVSP0d/mrLLfgkLm77Eh06DNs02NhURKdId1
sDGh+iAN6wF12nlzaYMJxVsN79RJGz28yWB72lpTDqfiG/Ezl4IeaHwj4+ELvlFBMflACLUWWGiS
NuoNCI2Uw6HoiIoecjlKt7KWI0gkysGPd5VSxyM0PRTDXwHcB19t4gI2Xav5VJ7DAri+rYYIqfEM
Z1JtApaImnuofmV9UVGNdsXcfu/Q/dc5U5lF/vnUcl5gZ/j1wLL80I8Ji1YXPSmwHbpBF8Tgr94e
WAxCwziyfLcs/JiwaJ3Rsyc12TBo3y+5yH91zvgbuA26iR8PPT1ArH9luVswXe8aZ7picfpRFJXf
pVocjN52h6uiwuEZxuGp6tD8bqtkwAFqmBcKubb1Yg9f+K0wmgdBWaGcZRsmARnGK0gqbb225Exp
rwehBPYrGTFb0mQ1/4nNXCx7w5CnJEJAUvDPFGTlMGup1gcncsojtvOVHlK5UTp1pJs/GxQf3LSx
wUax/zWpjfQT5USkkrQVJ6eeOrAmMZyocGtipSZGBviWo40cHbZVUBP0lmeUCEU1pDU494XS2NH3
M72AKiO+eEvg5+fU89XAo7T5b9H+fmCnj//PQ/87Ds55qp9/D4Tjh9+8AsirdFPTGdHfF+Yfr4D8
Byd2GbSbgdeH5evHK6AZfyiKhsUGS6hl4j5FjPFX91hb0jQFdhLN1Flk9X8Fd156wz/1jkkfXyxF
Om+ihR+QF/TtK6CF0G5a3BHHkL5wcxzHhze35fT9N72Vg/4GOEddQQeRAnEFWRZFt5+v0PmN3vrG
2B272fBUtXydSv2Y+vGVUbevmDkBKNbRKtMJ3FWkfKea9rauYq8zS87ZksAdMWib3Ky3UkNcZheu
9ab8U0rZrar2oTM4FDRtMjhzmF4ovWKwX+/bSrsIsJYs+X+9E3ATXYPd7LTWiGRsnEE2diP2w9fB
kGE8wojmjY5MWm9R+melpqBfWdg9HfsRZo5Auo+BUIHu0l8Ir8jWrUJgqJ6E1R68bAE8xbqAByB5
qVXfs/MAPa0qFAJ1fTjF46DQ3SjatVJTc57qfI9X9JHshoOhopO3s+lA1aHapnmxzfN2BtxU3fhG
utHm6NwKgYPOc/4oyQOhW/pIWId00ZLd7TSAC9YdNhu4I9cmnRtJhlBV2Y+JLG3zsjtrqUxC950u
x8Q6i6nyO8FM7HWbnFWm+eQrwEapSG4DmJ5dEj21DcarZsm0Zh5MwdRJiJzpx2H+Vx8wsZzZnUkK
lHHQ88pY1Wp/nmrzSmDJrUtaZNQcQVPaX2JYEJAX0lPtYxNt5nDfRvJDWUHSn4iC1iX9pk0VWncz
jRtt1q8j0uvcsBlDr7Oi3ZRSCDZinCR+LDZyhfaxEMljp4MHlmkQywGnrLzt10Tdn+EUcLFg3enY
l4bQOIpGPDTtfJFE+lWYodHv/Gxj6v054M1dQRZ7MMZ3YU/rNrOHbdoPBxDm1wKkl9PG6Z2aN18U
37wTfrcuanFmzcZaGutHobeUO1qbTMnmoeDLq1M2biSy7ZMU34VJ/rxvrLRkPJRDbAFAxUBCVYVf
ajXEcOKDCYT5yFtASyt+CHw2oiPO6jW9Z4ZN9ToV8dZqY0/XyseFXSFJ8nUDrsJJCKjH5u3KRvo8
J/5lkoG7wud7AACOjh0/gqNLJqQqglhKOvBBFNDVyIidVtjLSmWIX202DSCiVLMjclFXUqkg3hDX
sa3fd2UTrCWVVS4tl7cnHlAxxHsijCzIsANEL3oBC2L3arRwfnXEqO77QKZxL7TGs1PMzioZBd7Q
EMPbqsKLDEH72ApWduUjyrbb3guBLcBuQCjC+133+LOzSYLbHkd9dBzriBAvqikrm1tBP7wM0FSA
s4vTIlzpoVlTG5Fkr531Bim/n1wVluCsnnXyvhSL12hSOUzU+7YdL0q9bHZ5RxFe0ai7K2rVbOl7
xl4QdQcWaEAaSZlvlBlMxjgDkBwBpXZ6WnpFWxWqw2H8wiQ/HTcOESpzv3jd/PLFmKcvta89mUm1
ZX47j2FXuLaC921KpYOffBM/0PNJhDG6LVb662IBajuK6ad09/Oroa8Hl5rshU5ph5nFrWN9hW6+
A32b783KZEJU+NDmcJl3rPslpTXmqLOg8rfU8hdaslvO7QGrPjg4mC6pfIdOz9U6+Wyw/XSTj8mj
HvtE4UQLHskXewXrGAmRkflcDpLqzjNZ7o6ORf4mUTK865G20cyCZOIZ/lpozYkH0bk+n63kqKkl
LPvmUqkETKUGCxueFIwXxoopb6cqfkegpah36dTfChI8MzVzO7KM01WDw8mbhjazmXO6s0EWxWOu
t9RZI+kVPqG8mjpoo1yOqmuJt5gSQj0hNTH7LQKGfoMlZdow9Yd3fsUV1C69yYmrWgFXt8+6qSZG
Pg6OORJmNzU1i+R4tvh6Yd4AR475v5gybaY2ZPHovo9msboR/nRj5cZ8P/s5u6uuaNY0nFAPDeO6
nSCGl3Kfb4qpguDDD2LoM7r7Okqt9WhNdPtpyYD208N2q/dUX5KhXGtWVq+mrHhYyr/5QHysSZ5R
U1zIk3mWVNOtHMZeH2EtxDJ526XqjdVVNnE+5AMV6EJWhZ9OS/MMl40sP2jw3Klv6tV9J0plVRYY
1VEzJVckAkMt8LV7dURc5KvGiHSFg0vcyZP38fL8ToKps7smYo2tBptt0CViKei/ObDjdRSaFcT5
sU1AMI3zzhDD5VA3648vg8347TaDesW360DON0hM4bV/vwloTXRcQUgxOE2XkK5bZqUT3v5Hpsva
GSYUG3Aftz323dRKto0aHuhAE5KU75mpDobfOLGdXIY400Qle1pITxcpVx74X+FS9PDViYScraOQ
g6ePP/pvPzmOanR8ID6QDf18h4ysK6LWTvIj4h4Cs7BRZm5YfDfE/6Ptw14aI39vw7g/mKnpwagC
OTStmm9ZOG+eA3nXJQmMXX8sARk4sNd2WsHEIPsV6waeoMWadg8Gu7hEdb6agN2QRoakbiqZqDTg
T3GGr2zuLsHX29fUud2u6I8Q6lLeEuKCDcJjHKMIjhEY+NE3uOcq743IcIdOlMKvDCV9StrUVaBu
buahAl2lCC+EEOElrfYiUTZY0jVcZiXSdChtuEWlEUBF1hhLEVubUOyqWf2Kq/RpNJd8HUAVo5me
T7PZI4CYJBQQQ3wuhyU87hFKUqCAwAxtJAVKFHzxOyW7qQZSy2wFdGdWYoMSZbsVyuD1BUucsiB9
YzPxwNNewOPLV+M8Ul7R0oMvP3VoDgxzx7z4YEkpREzAt1OsP5A+F3p5mUMd5gynSTKZOGw9Rl6z
lRlQex+lbFu3CCUzZTzr5P4JSU/4Amp0I4sqQ58VnlOHRrPYVGvEMbDNoFlmQqRHu4OWJOZxD5n/
e1DOPw4HZJu/GQ+8kFTmEIhgn3nXSEN7XeT8HZErivqkgRldzWWfHgXcC6Qv4WPQ0FDHT+EqYgRM
mxJipqXn3BVYF2FibtWgOW+hlw6zem4U1r2mo7FoMqMC+icDAzMwCwcRtI/e6i1PLvRsq7KorwYl
qlZWLbEfYSKSsyJ3iWm/DrIIjVbY4EHkAEoTnxA7Ksoim1/qQjzZiJdhEBamW2fqrUA4pzdkoSBs
WwkouC4tLqxqg7iPLQFeWv0TDxIp9APTgJ1CrBtvfDs+mMQVVMS9CwM4PqEt3aReI848T+LwmhDS
K3LsN2Jq7yGf6A77RtkjhZa9YNV7TTf0rmWQ06rF0oqMGFYOIT1JjAm3tLUHRZPulbCvVhXNby/E
iNrPaD2kscBKXm9kGh423CtgIKQJ9is9aWXXsoa9CXJloJGDxrFc1Fg32lLLIpi5oR6pDfDotfop
NwGTTXzODjxxn1wgOTiYuVgPhb4KzQh8XQ77xY4uYRcnu8mavaLBbZ1CIizZ0BQi4FzCy9hL9uVQ
ta+RKS3AMhn1WEzueAelukHLERAvr4iDgHOKjYqnpAQZcXmzOyw71KQLD5Lie4ky3EGWo3YRnRaB
TxBCKEmkfcYqDv9maykAB8oGNSgC8p2urxQUpKvUH9Yty3teZ+WqI513lZKKQ+jvfsbCZ9oUQgcl
wLQpM+nOIHli2lXGYJ18S9liO90HQ3XAp8qut02li7QcoKmk5pkeDHtwLJVLjj3PhnRFd5DjbYiM
UWo4JaQoTbTMK2guono7CcMzYdIN1hFBgyABQt9CML4rZZB5mXwujBp+nq8f4nBA3IccYt+pvYmi
QlHw3vr5ZujnVcm+YVtMEL4nYW7h0ZC/WIC+BW/k9TidP1naPnlT38v/1dCeYrtMuqNg3e+bc6zc
7giT1x8ukvpc4cTy8Xq0uDDerxRvZgYqYD+v2GGYc7pgZiiKr4r5Zz/Szzvkwf2gbz++EDTUX69E
2U5XTYpkxMQtK+ObNWlo2r6K5X48zoilvTIaGzfy1RujCYpdWIBPTMZ+X5aR7BSKrJAsSOCJiAuJ
w8RMBYzf6zaK9IpK4BJSlAUcqfsiRcVFIZvXKds3Tj2koqrXY9CMq7wN1lkbPeaxficRXX0VdLD9
jDBsN5nR7Q2oRmwsvElB+cQWb5O3mnlnq/Z1OWN2JVCi09pdpKn7OZh2RmlfDAk2WZZtYHj7RF2k
mJIjhcQ5lMpdVtZelPq7oVQIu0HMA+IJkim0vnQIHqrRru/UgCAItdGCT+7qz/WW7wv925u6mD3e
3NRE6HlUE+1+tMbHcH6erE/st5/9/ncLhyyhKoBlOB0j67qMkc9pt58Mi49HxTco7psvkIkskRM1
mI6GeooABnKbZDqnH19kuQvvBzn0AAtMr1AMS7wbeqPZAGHV+Ra26qrtSztk7Eluo9H85GmoP49x
rBOUpGl+KSy1tMfYmf78OCZgp0Mwl+qRbcwLi9rqJl2Tdev1TuTeOblztxNuf3i+itzwy+g9pd70
zBvdbLXdx194qZH/8o3fvNbfPuib22r3kU1cN9NIu+5Xsit743W3IWFkbXu2m9ZrZcN9XtPZdxB0
eDYNbk8/5i8ff4qlHP/Lp3g7Ot9ZwFI86pZac9/vx53qEYOztk+mc9Egbltt7gz3AP5iYx/D9bjN
r43tjb8iJm3LvOfMG7A4UE+dZGWvpEO3zTfNBZgDfOurL4XTHWV32hg7e1fsh219m62vP/7oS1f0
w4/+7iQjqU2EtDxiXDqFAxfiKwmtN8qqcuMVqrlV5OXr7KzYnF4OXrdDHDi68Vns2GfxkeQe14d/
6vzpu18+/lTqYv76dSD/mEPFO3NYFBW4twSfKtyRaufO22zj3+Syk7hF4aAmckhoctIN2rqt+kgh
zfv4+svw/fXyf79H72YbphppItJ8PMpz4ZnDsJ/BC/UEsH+yKC2zykfXeTfrIFzR0Eqm05E9tdMP
L/K4HcTzpHmV3FKKWn/8rX7/qH98q/eHSSlj8jequDuGaJMn/6oMLv//LvDuzKeNVioEmbXHxNir
MXVA21x9fIVPHoy5vIhvXncpK63cnHjRivLYkNJcqvczoKGPL/LZfXo3uTVK2gCciNvjuDwViIz2
+H/Zuv94Uvnse7wbYF0xN13eZNNxwMQRiWMGJAWn4sff45PRZb6blYQfSBPFOVYDjC26nXtJ2l5o
WueaqHjjQT32+JQ/vuRvv9cS4KPQZ5GhJfz8fDB7an4Ztd1Rz17reJ1oIUW+zcfX+O3jeXONdy8N
YWyNVIX6eDRinfr9ZZZ9UlX47ALvpkQIyKMWF1V/lJm0KUaTLvnJbXrnUP9rO/PjVXxPdwgjmj5+
yjjmbOBUbnAGCeqcI4J7hobKCy46J9t/fNfeJR3+esnlW795ddA4aACOQtaoewrDObMqcQ8OBv8n
5TDveuc0E9LF0m14UM8d61JyrlpvWdVPD9VJO+PUHjqxN7XONnfDzWcf77cL+duty/uRE9WDrPi8
dMrFspBLTrNJ9V2uuE6y0Vd3uXMGLXz/Kj9zOKtvpz1OjU9mL3WZnj6ajd89915qsDzbE3uJFdz1
1cI0E469T1dX9lEctE23elDXvpNTsV0jJN18ThH47COY79Y9aexwkQxle5T2hTOuqGzGf5KytjL3
3ddxW3rZwdxAtX8NHjR33CQXeDm+fjJOfr/0/hia5rtxkqC51ZucoVmvx3XlEI6y7Op2iXvT78bd
DseLMx9BWd/Jawi663JjnjqnXnVeuBuc8DF1P/k8y8Hsl6fy9+v+HoxjSTa9oZwppfIImN+AVhrX
83o+RHvFeYEJtk5ca1duKeod8Izdeha7g9xrN8n6Olotm4T/2xz8p1pZZOkftu7/5/yp/Vr8qlxZ
fvCvtj20aGLcwOOArUHKvlTGf7Tt1T8MFc2IgQ6FkvZbqZ35B3I6lZq6ISBpoF75u22P1B5AAIhO
iu0KVvJ/JbX/eWrn3EKwiQohlFIx4gIYwz9PgtS7uioT04DH9lSDP6MyunpzU07fB+bbxj2f9O1w
NRBBYDTgSnxD+vaLC+HtNCsGM9E6kyYl5razyPwiyUCfLxFMK/5p6I+N4n18PYQLn1xx+URvJnZ1
tOqIvnt3EZec1QFctoQMNYWaOUVQNHQlCuusb42SSovhO41Yi5hY5sqnnO21WWt6MXFZj6NqqzvY
9vQEKqKflKYgxNIKDwapUDCRE7ckJ6qXkleb3KiFqlAsQVJmgVUgDuhJAYnHNa8SOFUv0VMZbdWt
ztrfLLFUBmfIdVBGxcafRkqjS3yVWXcofWeAM5Qdr6XBosMTXVl9v+fsWThmhJmTNCzgyHgIfAvJ
IklZ+kQ1m1aL/7/sncmS20abtW+lo/dQIDFkAovecGaxWKxZwwahUpUwA4l5uPr/QemXLX+2u8N7
L20FNbBIZL7nPec5VLyTKbAPZSlue7q1cHgeC3OpM6F1C2o3Th7jqV7quPriSz/btyMtXf1S1yXa
Zh/T3+Vo7ypaCr0iWQ47Q1PyhZX5jKY2P6gWLyT2R8x/D2UVyYOswBMLWoErGRntHXk6/keXk/65
ZKFz3ZJ7vynyGfMiq/RN3tnVS2p611Ii2DmwrVV8HNPhXPsBy4X0ZprlR5ER9FqMdbDxae+y4m9Y
wV4zo3S3g+ucR+1cBZa96VN93cLM7rrpONnxrTlXa5IDeA6xQEzjNXCyctPOubkO3eHU9ObHqrO2
jlOyry/mJ5cUKemKCTpqV9wWabvvvOEmndMrs0zVamSRjJsa1ks1EkBrekLEzpRtm0Q9Ve0EDMgg
JWrlujt23dBSl2Y1d15cTddETVg1EOTP8lffGC5O5N03XY22H0FXjSJGb51fBVl82xXGw9AX7Fn4
sZQjzVcx7ad5+6qijlJUmdxZ4bD1uxwuwig2LHs2TjLdtV2JYoDdSw7Ofqj7nYmDrJUeGweTEpDy
gSrB2zyoaAMaG+p+srS/H6foXgbiWA/dxtPeJ2xja7Yq9SNSqL2mY/F7Yfd8mnxaZdjQzgFrHtNZ
w4l5M4GcFyAIKkckROD8o5VTUmjb8VYaA4UY4S3NimfHJXbn5vvRdLcU/6y7MTg1DRRXl1X53NJE
atwA1sHdbhx5UNxNXtiSDgZrajvBrvLtZ4f2BotvyLpacO6g/+joHVxgoBnVZzEDhz0ZV2kzP2L8
hImbtTdxXT4k1P4kCXnRLqAHuPOsr36XfE2Udy5Jw5IrHdL10NQT66chX7tB7x3eHzP/HnqLEPz3
h9593L/VTfzKJeoNSlk7HV//579/NKMvL/x56OEvpxfUIcHFicd+6fczD3s5x8HiE/M5GXyTQe9n
4RZMajgn5NJYHzs2prXfzzysavBqPM9ExeOBz13+H8TL3hlev9+g2OlBq2NDyqkqJUyVPw0bVtG7
fWdb57qsKq2uDcLbxDd9x2xybCROkl78zrLTTcR3pwNb2pEBmyaoBdi73AuA2OzSlZVBXdBoHF23
sM9dakwbMrbFiS9T/jDZlLRgI9HXIGPKb23YDldWPqQPjhjqk1MmfrFuR/XGk945lI4X7ERSu7g2
oVV/iUyc51CF6fapB0xAfrZPLTFs5qxwiZJKmrTteL63Ghl3oD+pfSom9rOm569mLavNaCWU9y37
5Rhh4zbPu+DRwnt9D/wDJ7uZuCm29uzd4z7rCL97/cP8LlQRYoV3WF9ijO9/2OSnd888t5f+rq6F
N6DSL7b64N1hL6VOiJjFVfJkJIsHv+pT/PijJSs2w+8+fXex7KddZx+dxcY/08K2UXO7qmF1eiwA
N6JwSSP3te+eyCDVXwOg8ThpokkT1DIb+MoVgTKSpoVt7yfRJEd2xMrflLNzPwuSyAerd0n8q+Qb
/qvoSkvYpGcX8PeRVULc38+JJ3ZT7RbkVSM+mMM594m6GD/G8H+fCAs88u+fCDdf9dc/PwyW1/x8
GCw3YClYACkugFR4Mmb+cgMG58ddBBjIQnXkK//zaeB9wOuNl1TxkFhaCnjVT+Oq90G4JFdwgOA5
5ev8j54G9vLI+eWGutyBFVw3h6cOdAdJ7uSP98UaBITj9tZ80bqB52qReayp9Vxpd3oSScUtiHjp
AFkh0N2L2QVfYskdwhydU+MGGfAOg2RTtTHd6ezOUFZdmNOIGe3KDOOLpIhsCrxbMwsJiQmuItVg
7tPRPw+2e13m5d4L/UOXWHQawzby5AwSKMR71sqBDXbZ7VpbvBmyOIEjARfZO+FZLVwkQ6fByqvc
7WQtLVoGkGSoQaY7sKm2vGel7dvGyi6uD06iqwuWe3af0ZE04VxLuTS6/h1WqIeQg7Jw4TpPLmj4
MCuxWLXO21CGyXmeO02dNX/O5Pb72ahDDGOQaaQ45EZq7mCz1BsuntG29cFsrK1QY30I062luU10
uFM2uFuJnZMKq7KXEPteC5lypftm31U1qFluy/txpvNMmdGuHNJDXRTbkQv7GnPCpnYycbSm8mSb
pOoFdYABLadrrzZxq6QU8aVlufYH+VCJWNKqUZOPo6yKvo7a4SnNBXjoeFzN3CvdhiuFp9AtqBSx
cchi9g2+NKH3mIBMOsbcnJ0peCOKXKxyaMFYnPNN4+Kwskr63wyHx3SEeahKc/Nx8nzoJqN7zAsq
7pxQ3wuRHYDVq3Xkwh4Pyeasy7gJjnLo4RqZxE/YoUGqIS1IIfXEsJGBUAnTb7Uo4CpXogc8P1v3
fsU+fHZT2kaon8J2E22MVuAyGEx/6Yu2cqj2QXGUuAMPuPLZcRteetSeuxmVg9/fIf8H5iDZt6Wb
VYeaHWvw4MG0uhIyeg2NUm89eEJXPPdjPDr1sa7Cx8bE0wLH4uAYmlR1K7c0Abvb3is2Xl+Up8Kr
z02Tfy9Hik+deTiZY/9JN5NayTl+7izShbHt2+s+0J/6xjO3qpmvu2KksJnLZO0ldMp5lDqW4b4d
3HMxe3wljOd2EHgThvmQWHhyZOhcVBNyHYdQHyfcvZ20XPlps0+UdZ1JUF6YBr7MOrj0ZvpE1BOK
nRscQ6ty9z1dYswjVbytEwx6cVR89c30DIhjPWZhtDV9/1xk/qF1e5ihisLZIH6ihw6l0WAPl1jm
qx3r5z71NkaYEZWgWONrX7uQSIzPvbPQc1rvbJM2XQsS6Xcydb60Gsg3m3NmqNPENDkL5xTSxAxU
yL2MZWmdcUHsM7OCAaTkyR4xHtesnw0ruscBS2gznr5Y6jE1ts7knXQc7/w+afDdkEYttPEY90rQ
vZsxXyhjbZX1Z22094nsgjXoptvIpTdB2u3GHnCAQAsyDHmYl5ILQmrQ7msAzazgVlnkn5XvHxWW
EjIj687hp07a9NQDQNun+fzFlzBDWjg4kuyKC/A/M5Jwzdb+uhvmo6/jF5oNzFUgBDU6g7/ScfLQ
Zu6LX4Mp70bcMkWlnkOjLdYiD/gS41xZ2VG7xeiNMObP2bhvCvzOP5DA/564FmLv/3LivvVfX//q
zOVVv5255geu16hEDsW3kkjSL2eu+GABC0SO4h7tqIXb/PPM9dGjJPd1SYwJOUr8cuZSoYvixBMS
seif1r8QMPnzkUu4lKW5D88XRMLy679INAGEENsN4ukSF7f2pDg6gomQRes/jbM1wESxqpVvFdfe
nN17k/My6cyAfzULWqJA1lGgaK5U6181qX8hSVquR0O++FF6zjr/GavyE+Ps9w7uXWUAXot99TnT
uYYjJq21GOa9aeXXxEEgwQe9T0rDvhnMikIAaTqrSqbPMpQzZirJdQC8vsVpviot9xNO/edwml8M
yFc/sGxV95TG7W3tOxglArEHLfDA7uqpLMfwJujbq3LoNcyf5iQ8otsjdVj5WPJvnjcJpeFEOI+d
x3JeUtmbuMWuiIyPnY4JZborSBw3mRfuZiei3lGpYBsUyGU45zZJXO0qj+4ZG0MS9/TX0o8vTSok
ZrxqepiJmcR9QHmWbuD7QMZyE5tqa+kQRisw5fmG+zmfU9o6h0BRJWpmV3i5/U01iGZjjOTqVZls
vKHfZI7vbvyJm8ngzytbdA+SjojtXLvPddXTKxbGtfPgq45DG7NmCUt+lE0zP4lhmJM1nTRVRAag
NaNtRu61vhmnMOG4icKMIaIE+VZByvJkv00b+IwL2WnoJW5oWF9JiCvAdPq1WkK5AS0LjkL/oH7l
TSfuOTOxUQLU/jITolnJhg8Ovt6ntii+xPRPBC5NNLBAXKc5Tl13GmvqdWVSHOivM7ZRqhd/fX/2
l/hoOtEZHpkfJ0de5Rq4Tu5OXyvhVk9OTm9E7nDC96tBD0dsm/sxSYJD7AY2HfXBAfdkuQ4r+zR1
qVj5BrULkzERx8u9Z6OvPfJ0xm7wLVqMYGfSzQoGazjOPsZLs9Ry5YTQk2BncA3Q+5iRbWWq+baw
gp3doSgZcBrrunues+xj5lrfS5v3jAf8J9MrryljfiI68jnM69sxSuP12HrgP+ZPTU1yxCyjQzAm
ak0/8bYY26ucbvo1Dt5PfTtR1ld9bad4i4345CcYHWP9WcZoioE9ZOvULMgH1tkjx8VTBNwSGBMB
ClPhgqL6Vs/gHFr1ufIrRrlOnmut7ufI2Zs2FauQA/fmRFFO131xvfCedsCdEsUFFfwyaobbSs7W
NfWclNrK4npO+xvLDndp8ZpiJe16YizNEOzLmGnTz5wF5zbdxvSoeSbQCH/ooLWphk13Q+O7tL7m
Afgt10zbtdkAZspCptd+eiSgy9KozBT0AfVYFCFMKPPz7EXnzB/vbAscg5mCRKv81yA3DySy+Rip
6th3OR/AYOkgGbdBYr2xWNV8ocQjH+NPqiVeKSB6tDFFFr796s9TvU0MYsnBkNKxIJx1EFqKyBN+
/0yCO/CIp1FXOGa34DLu05TnCuNtdQz6yNzmkxh2hfRfxqD9Ci3jNhD4owPlBptmMAOyLpXPtcY9
aa9xbmfbIzRURsVdgKvuQRfiWzDZFkDM+Wkuy2t7Dl9EIa4IPk8HtAhj26YWXFQyPY2Omh3wzYJq
adYaWs2E4wDa1Kleqn0qDnYqnlfwfQBhuGDPAqe+noU6tZa4ijtxxER3X4dgTs2BKP7s3LCdO5U5
/8o4rTa6jcyVOxvOBvjzJoly2CrK+bFN+PfIX07ovz/yL7h/w7/Q3JZX/TzyUdYcQceoSUTCEShp
vx/5gol5wb9zugM3et9B/Tzy7Q+YEiQbJiSeH1X2v43Z9sKIIrYh+W1dpnPrn4hu4KD+48xnXF9E
PWQ/nxyn8JALfz3zKymmeFBmgOgv6CGes9RfCxqZTwZU0VOh0NpxL0wdOaToKg6mz0DyWMEj69iL
vmMMjLYHGWUwYysbo7WpK70dCcOFawgH5XNYLzIRfXdIRsWiHhnvQtKwaEpOFsRvbWcG9c5a5Ca3
YQ4oaDwteD7u4PMm1RZUA1yVrHZota4TuCiTWnYR3KCboPO5JcQab1dCeoHuuPq74YUj32nCHG4c
9PSL8hDxwKbIKYtWhs24R9lWuMK/TrdUTZlNJy56LtEMTAbr4U7YM9EUf8GjXztldsThexzjYF67
koTTzLS7Lpse7grog2sN9tDUxm3Cd/5eB96p1RGHWcg1BPcH1cRNWa8tY0i3k0wStDUj2aiqu4xt
czFSjKlDCO10crg9lOWwjULC7DyaWkomY3uqv6d2+xBn5gM6To4DP2uLW6MCvGU76Y6eKlZVMvpU
xpzErbcOyHhS+5LRSVdGAAJp67S0CnG9E1v0oVZNdv5gSHfYaY/TQRHn2NSMQkXFP1dT7jdSXAfO
RsmNJYro0ocDx6mGCmq7za4djfJeklP15eITZ+Vi+6THtIV8EhtnetR3SKDxauq089T4WAE495bQ
j7dDY4mJIebrsZtrtFClP7tBt+T4DPSJVUGYYd2QAdv/8lX8iw3nog/9LidjJOELh8Yt0QS4cKNl
/fGDnZjRYBJ3g2RIKGVnZ4P1NZp4n4YpLf6/a/vf599iVP37599t9vXbW/0XMiOv+vn8s5aRx3Lo
Nmbb/GOz8JvMuDDtHOYdiSn1XTD8ZeTBGmxTSrbsprGXMw39LjMqgdBIqt0SCMps7v/B0gGiwh8+
Ju8yI/kBlvpwLKylXuSPH5N+GhASUJ8JXvcpSNH0Y9lP96rs6Un3w0suquQbX7ECBrL9aLc2l2fb
QLxRw3cjMncA+ZzVbJPFCWkFN4uMxZ8CNI0L/KUOUZ3GjKhr3xX3LAxCBpEyIMYA7S7PKEXW6gWo
+IPs548RAg8btxZqqgbZWUb5IVX6yl7Ez1zBhgK+spsz64E/azO0LEDYHpIb6SZM7l6XrJH+z20K
gVQST4dQ/po03tmpgzvTGS9R2BxKtbC+KFuzWGXsHDydq8TpF/RouV1KmFbKou+XuqrlnsTWsVrb
gDOOzLIwsbQ4CNo7d35LZTKzlbftJm1v7TTYy/Q9n5Tz0NTOI9FggGL+prPtLdk+c1XVtNvE+XSc
ReKs2yICE27Oz67/moO3q61xEbGuVN9+6sw5Bs4G6M9Zata7iflO9mTJ3HF6683y2Au1U7ZB46QZ
PYeChzwA+HXmZdXKqXOGrEW0UrRoqptFdgvL+hkmzQs76ZMq072RkmmnzbFqxLEL0juLfdAqdOW9
xzsUxIqdRklhfJbd1I5/L2PzJR1nc0WfEtdEk3i2r4an3HI+J55/w7MV1ltfODvdCUp8RnUSifdo
LFxoOZvPcZ9k0G0S6HLBkx7rG1wPp7CGy9Zk2ZtjRF/G3njUdnc9RuM9wK+dKY1PnZF8y3xKLFwi
R+tah2o1Z6VHVKH6roB0mx0Ik8rxz/yYrgdcIZyJm8D5LjQZQot/zrIU06ps4CHGD2VEr+ACRDZD
tZ8Tcnt1UX6xCwnGqFm8EONXpxv4fIkK1S4sUua2ErJd9gpp7qNf2wDfLAoHM3nVyelQyhZrBU4K
K7KXnMg+5NG/Ygi8JbYBzzftxw2SVgTCd0o2RoTjdbJxRCCSPictb9LMkLtyGVtA8Vn3rdRbX+d0
EOa1v4WGDrWdzrUbqyufx+ZzVh1tvnOfiY0QhKzMQxRyosyt81RWU3Q3DbV/DFLCgGDOx73T09pp
dtCzu0rg/+sirr+G/o5W3PpQ7aqWq3kUJBNekrSan/r3mdjtR49pNQxS56EIbCZMI7SfY9DzW4eZ
mj4iAndM2WPhMG4vc7cH61UV/h5UOyO58LwNlWjZVawdtc1p3dvqwf5c9m5CjRhftyziI10MLRXa
CI2xS6GkEeeb0PPHB0+jAJRRdBmj+XU5eymG9TYxGoKJltABBCDITuarkF4E5SjcZUrdjI5DPi+m
2s77GKNMRB5mGSg3O9kSkEG7qM0JmHp5C6V/B06vXc+oHBC2uXihezhREd5kKCGpIx94d8UeZvdN
kzCnopn4IO1rsoRwm4aXRjrPZWl/yk2VrSz0liSzkQUqyBSUoDy70YiXbUa59GxxMyyCTbFIN2mU
gZSf9/xfa42BBkNM6yKRIvhYFZUzdvp9QgnSiXrWVQxQ3XmB4ViuzVxdJNqR7Eq8HRVeGRvZg9Uu
YrEZiBdzTO7JC1/zw0OESmYAF6l6guEM3SCDkUhcLdpCd97IZdZB4sKTyPgDrc/lUmKcFINRE1nH
ZpmUYkamhNGpY4TCE3MKuvaagmNK/5YpKxsg/QZ97q/sOAcvqrwE8KGYtwEDmhHN7a70K7J7sMtX
WgM0W+Y5ANvTwWLEm8PgqzHl1xGjn7HMgGKcvhnLVDjpcVzXw3DQDQzunOZgQqrVt6EkS2ss2xOG
tqfYk6dI62/xjP4WWmYOoxs4SmE9KeCQ60Dz08hUsEPWMDdewPVKDkeVUzwQyI7qdU4H3X7zLeLD
TZ7xWWvyjmtbBuikpmlRTMyJYJW3jCMN9Zpt43+x8qZVPzKu/96Ilpzc39+IPpfZXxgPl9f8dh8S
HzDf0RcjfOH5ZM5/nwfZyDLOsTpl9Fv2rui8P+dB7wMhWzZVaL22wLTHFPn7fYhKNFN6RJwwDeIc
/Cf3IXa8f7oPYefA5wGdQNHe5fOX+HUexGOVFJmVAN1oKXXVXrtRQf3YWnzRE2ui00EUJTsQkV2s
Ns8fmi7g02mK7tDRo8jkSCKIO07LIWXfLIQjBrh8XE8qebPxJqxb6upOUdW/+N2gH8tpuU1U2Xjr
08y7znOitH4XlI9O059rsyOiVPibHuzbJQ85o+BuhfciVMW+w5CyDXngbhohnnKMhYcss7t94tt7
QLpHe/Iew6rDHOwk1gaiQ3zJ4jFf87GHtyMpERi852K24qfKAQ8bWVOxa2e/WxspCU/BW3DB/B7s
RrP1D1XJ7igcuCKBwMgPg2aFmoU2Y1OBZSIM1acSG9TKoQqawtX8uqumfeobnwdunhSUYwcpAdS7
kb4yO2ebqpCO7LC/Smvj1JceVwVxLsuAg7Il2ltKoBtFGn1xe+frKOmRIOH/MazSj3glWFpFIZbC
MH5oHRpH7cygX6EQiqkzPKQzrCFD5m92iHFmLOSVxLC3aul3WAEF5JEFVHQXBeh3oDM+84NO1r7U
D6UR3DjZ9OLN8cEOMrwm2n4NpubWaIr+OvU8TIYtoc+K6K490/c7B/ONW/IjbfW4AXp7m+b2i2XX
oHbTb0YA84Fz7SrNxgtKNv4ZLbgehNjLjME6YnolicmCajOE/gV/EXuG3KEAWV6XY+5tS8IZK1dE
n3U43zE+nJJKMbuPMz18BfcnPh80xHhV6l1smtPtF5NL+HRUbZNuVRSejIDKEmpK6nCTudSERMp9
MxoaSToPFosx7d5hkkTS3bPZZ1c9fruVcplHrVxcg6tj0dbTmBMsa95wWfhObH69ZQXcLMvg2nUp
gvZqMqdsiitu69ARWB5zxe22WIh25rJYho/Nm7wsm4losc9cFtDDsoqG2XCw2U1ny5K6j53juKyt
wcqZj8Wyyg7YaYtluV0va27mH2qEAuoAlhW4zS58ooknXpbjqes+1mzLrWVtjpt3rdijO8tCfWAa
g9bPkl2xbadsmhVuC3EfB2671stSfmQ50C9r+qB1r0HLApNdVvgmu/w661jqs91HpRfHqoz5KbH4
z+xPjQguxhDuhsUZ4AzxHjwPZgE/r3HP4h8Ip2jjYSiIMBZ4pearztdEazXyxuZfUDmvRjXoY2oo
b5PFQlwiRKBN0BnRPYuT8Kpw6M+mH/Wmr2gjQOrZWhOneFaAQ7Zh1K4CPd7hNKLroNKArqYZYYMl
0MGsWofao9LZT2Hgb0woCkddFacwMkE4hZ191chwvqoSYeydEr5IWek7afj1bk6nK5yjn7SR27dW
AgWBp196NGLHX7OKuDK40IRjSHww0Z8rur2/NwWosIiv8Z1Kkjei0K1F0t5u69X7sfHv+elwoPz9
+fkDvLeuu/nPqsLyyl9PUQCkyKMSvJ7nM7X/pipYH2wKGT0cQ1gT3x1KP09RxYqVtSY0lh/oSbSA
n6eo/OChBXDgCRoL3wWHf6AqwL/4z1OUQ9Sm2Utit1TLX+WPp6gfGHAfPE9fijEucSnKmkk3W2qO
io8xvr6tlbB7aAjjQqjlRje77bFyxfe+NBlo8ny4GrLWxm4Ht6c1u0NI8TWHCSSyGsN7WYCO6FAZ
EpW8DEHNsrEHrUZFBMshZtKtyl0PK9Lk38LFe3JrHuDVYEP5TudrYolPYdhy444/Bon9mFMRe1Ei
MNblKIZVxxy8NUcRX+UZuCaecfRk+3deyoAydtabMOpuFyJqPhaVfyBecUr0OO1MimaMZrwHQI3L
gp5ZirZueowpoVPtXVpN1r2L80TVD4x/HCdTeW5cuJdha+9T04/QHJpv1FbMpAHCfqtY3qztOGDE
rB4cf9oxbaA9OvWqqev42GfqixB0oA3jQDyQMhZvJmMzwrzqxvxA87nYjDAzNllNYNmd74NQTAfX
ELw1Xdyfspjmj9wNb3BRXPkec0KSwQVujdckyXwGMYB3YRnvh3mI11WAgmP0UElExPTdIXV2GTjg
sOC5BEg7Uww5bWvfJyzbyuaVlufvit+ugyPKb8VQGYnma9QVzrqhVBhoXEuDGIOBrROxsnFVgium
0ChzaAGemoNX+vf0fpW3VS7O1ZiMW7MSGgLbMtXzGd5j1nx04O5gO/M3nuE+aR7eV1VPxQBbsI2s
ghtzcaRjKdoFcXaiMO12CLDfZ+Y+G4pdCYB3I9z4o+80Dowx9PVg6ZPxs2o3x4qC+emTVeY7p+i/
OMOkj7nd34ODxwU/D2/8yeN2tLO3XlXiUpQ5+3IxwUJk+AzS6OxDMr7u7fpF1AH3t1pYx3hJbkRG
rraVgk68nYoGrWwG5MXwWic9FVm9oa70kgMZ3yMh6j0eYmvcvCi8r5jkh6vetdnRql2tx8NCA55c
e9jYQf3Zd6gGAspHkEPzR2B80R12l4H4aOfyFnthsDfyaH6ydSlW1PsNa1urB6+Sp1ZMb1lUpRuR
uvdZwO1Bzv12ztl8RsNG+FSBwXSYFxbPazJr/9iW6nVUSEXU8TQbt/ebTSmaOzBzvMX1OSBOsVH1
oCmYoX8dhxDeNGcb4orlE+51yzDIK0bscJAJJkArwfdMB7fg0jpmzNa89FGHf6hzLLy8tP1Zhbmd
YRUdwg7CH4A/FRRXQ2JBcwbdmOi5W8GSba8jxwB2OdTum2kG6WNpOhoIojcZsG0izEf/nk5s6BCo
/4/T6Vv9Ncdh/xcz3vLKX04n7pyg1xVX2T9p3nAMl9DVj1/hVT9PJ+8DZbXgUhbvO756BrnfTicq
XuixE4ojDQX7HxrtYc/+5+mkFMgX/naMmoyZ/1k5ayd9geQy8qTOvIVDFLMf6YHb6WSxcYwt9oa0
sVej6/SfhyQ/6WaEzWR6CmEmpsBuCkFBFJ64D0O55S6KgjgxuUkzNk7Awr+6gTUD0GrfBlk1W5WA
ztFZ8GB3hjxzmyMv0tvVTo99dQNynmBX9EzxCRDQIt7FvneVt9aVU4vv6Tg9DxHisJNeqqzekL87
UFQA1yGBshzntua5TXYKBj1xS5NejdBHLub6+5Yo52mQxpe0N96GHkOcCiY2UESRVjyyXqHFhitg
qjctpvqNoPJtNaS4Y6mCeVma5Tg05PJk7xGzaTvbdFP5HOXlnSXDrSyhoqmJdqeqA4MZ1vsuPIfx
UWr7vmrk2c6CtxldcipupdA8ouoUtKHczWPyMa94SFrBt6hwH3uX0chMvk/hYmPIrDuvpojD6xi0
+rDBB8nVcuporuyyKNuNbUZ7mW9Xm1pOD3nYgm1UUIEwdiZrO4tqlg/My3PpzDx3WNE2RHC2Riub
DST8QxphE8kN0sFIzPfg4CwCCdhwkgk9V8SUybmlYZ9rOg9Jy4HbSj2hrzAXc6KNxI+M0twzsh3R
weNNbbfxDnyVe+gCf0qfi9BQ4dlq5vxjQk8jO0y2k7x9/bwebTms+jEeaO/yvjd+dBij/hK1XHzQ
oJGd2ncJqnbn+DXPSkVZDomzA+gZOI+NFLD1uZU3y2QeLjO6Xqb1fJnbsc8+1208HpAyvqTLbO8u
U/6wzPuGZvK3kAD8YjjaubvXddDts0UlqJELjA7doMMuAW5qLvZULIb3ucPlSTVWcWmQHKpFe7AR
IcZoKh/5BGDfdlS5ThatghLEZust+kWIkNEsioZKLRJgSfSmRQQiwZnMbeyLG8NbpBATUYQKVCBW
ftsd6kUxsWqZPVSyyi59qYrHdFFWmMwirMKoIogubSuR1rtFXojdwyjR5rvASOBpdThJy+mCrB2s
DapH13la+ls3toZTKwUe3jigMnMyv46BXlfR8IxTT2OuNieuVpSUhlynVtboGEdCfcOXNBnId81V
sIm9ttiPuky/pWx8D1kHJhCK6FU6ROOhxyu8hZO7ED4x+66k69d3gy2CayjG3tnrp5uGbR2+IGNa
Y1rjm5n3qC+mN25a4Ltnw5vhGguCeykgyu2/59GP84hD4H+dlv7ruoub/7q8xI3+q0OJl/88lIT/
AQo4AqLPNpxDhEPht5GJMmsyYTa6pGnjVUGT/HkouR8oFmGNwS9Q/uX6vOrnyOR88MD441kVyJnv
ZtZ/MDL96UhihvNcBFGcMswx79Ujv1hPa4uPHHGT8BJiYGisU+z8X2Q19px/OPaWuQ+RlN+I2VAo
bDW8Ob9Km7koTV9n4HLCVB2LqPN3lBYn9U7l43m0Rzmw2Zma/czlmzSlxnEtKMp+sNi3lBuPFd1Z
1cqHREz11bmrDY8ins6W1VlKwxyBInZQEU0tcHBhEduWejAh7kZ5vq0Nx9yPNJvs6zK0tgNYrH0d
OdUWiHmytyU27qKXtwlJr/0iBW26kmMlxvRucb6U4IGLfJjLh6Keo+85hs2dLTClJGuvwTRJbMqx
UPIy/msrNKuKbeTkpv3ASi2FMFyN1V078reIK4gEQJ8R06JPthanaIyIGDCqrSiVPNp9te+VvB46
KVaqNW66qH92U/ux8puHmtExLPpn6aLEeLKiwDF2rimI3DLhXUe01oswTI+Y5GI6XORpWFqPzRwu
XFjisaTrxWRDN0M/rl2Y4UkyramOovWrrC6wopODX0SULQPOkOnEBoQ9rYOQR2WreIuyMoOK6m+n
UhLB8fFeho4Nqn0c3T2tDPOpmvSpD4z9mKeH1ojDPSV09Sa2Z1IfGt0yPkNItLeB7VQwE/V+nutj
UMf3kVtl+6Rwi00IvLGeS3jebIeLZqy3dQTwuW5PESVlK3pk5bepT5v1RA/2muvfbtR8VBmUSTFT
BGMQy2ABeBx1dR6gwK1EQhQixXCCTIGcGCbug+ugwoEE7g4NtcKU5vrWJg8c/JFTe65kT+OuXx97
rj10RppvjuxeMf54+zqT+cn2aX1aRakb3+mCcnExOrFLJhgztBLGlZ8mYs9l4FtqRMdZcrMR6olq
sX1GF/BSDsb2iunYhqKSe3d9gd2QgzKpgy0Uv3UuSfkMmbX/f+ydV28bWZqG/0pj78uoHC52gWVW
oLIsyTcFWpIr51y/fp+j0C1ZtKd7qAsuMFxgdkayDslTJ3zhDXZXq7NCY+KN1FpVcnujCLhmjnIr
rd1vlPDXmUxlIij7QyOWz0YGbZV0nQDSHHVlCZlxo1ZQo6T+gFDkWHOllWN97d1vmT0eWgkkEyP0
5qVlXGP9iqlm/70FN9rUdn2kJxG6+cOZ5+KKqWHRRz7p3AEbvdOAgcC6VI4dPfWoo57ilYGrgT/1
R9j5xlgsLF+6QnT4WkdWsPeifmb43pne5upEDoiqkjY4qrPoAMIkxZZW+ZpL/pVtJ9dSjuhp2i0s
4XBn9YeFIx32vTxOqtCkYugsYzNuJrZVzVDsbQ70Rq8v9C485PsJ1cJvxLSo42pxMHGy0l+o5PQn
MJWiFcqz6l3W2dZtZWdQR/phcPEzR3a1dy20t/tYmYPOoLIQ1P6seJZGr7E9rQfgtypStp2QUG9z
Izhp9FGCMfKksd7kQm/dQ4Q5Ixwk/rSFIPsopNkx7foqVao5b1Ftd/0cZLoQcq91p2Ixo4vbCpl3
xLGBRqjGRS0jakCTtZh5LbLwCvrwbUZoKQTjwy4DK5IjIh+hJm8iKs+TnxUN3UWrR3De1mJz7QoR
+n7MUTMws++6B8TNpDXPlnN4RsaVLETsq3CIlh669qEQuB+E0r2wfUb5PkQB3w6hFGC6eAle+E5D
Ix+pZMBwIbLh9Q/y6NPYGEOsan38BLr4Tg1x9kZvPyOvbZ4E+BW8zt1OFGCq1J7gGHxcodc/DAHt
aiQjCvUhMet+maPsH6btXau5S0MIqo5B862qAW/gBYAxDMxA60bBI8Bo0htDmAYgpnXZx8NxiptA
XZBkSF144/nDQYDfQNv36xb/AU8YEcixeVHjTEC4etfjVJABc7FxLuhwMFC6DHWNsV20Om6APS4H
PA06+tG3UdgfOPgg6MIQoRfWCDUeCZ4wS/CFbUKIlD+wOmZQWCp4qXUFJP+w1nCOqQL5jpvgqBA2
DBJkjUAYM2Shd2MIqwZNLlcG3g0cNzOp6deaMHVIfOvYxuWhxO1BoSPv4PLq0nfP8YMj7VxFCQ1j
YRORqNEGp8+Z0QWrJqbPXjTuRsZZQodrGQirCXQ5sYIfzithQhHq1WGIK0VpmN9cXCparG/1ur10
dWsG13tckDvi/Bn4Z+CQfrgyvegBzwtZx0BPxQXDwQ2jwBUD1bcRk8Ns1Xo0sWxhnYGu+SzES6PB
U8N0syNZmGyowm4jTWRlkgkLDlkF7WQLW47ILm9T2cf2QLZPZWHd0aVFIbhgkKaEsQfV2vsASQOC
e0w/utxkvZARzAeZeFYT5iC9sAlRnxxDukFdI1Lp/ngTn/0dUKLzrANOFEIiD8TtfQhClUmhyelK
J2F4DaElcr7rxj/FPf70FiLSehNJDaxiMyJXwI4d2Kt12uSnffgvJNveN4lFJCW+himoQpCADe2n
r6GCOoNxhl+5jMC4bZ3iYdD3Vxgn/H62gA2+h3DyNtTPVQjH1EwoWLz/Kl4WDpoVteiMJRinoqFc
qezD4rrR0ahR4JaUUGD/Y1H8LAQhkAa/TiWuGuytk/TxY9tF/N2bHEIBTmtBDke39SlR+DOHwOzI
ALQJm1w3ZQRX/8ohbFQnNNIHRTXRxFFUmiGvOQSyE/wAtSM0k6B5wzT/BzmE+VPbhQ4OTGAaLwB+
HUGjE22ht2tfaY0ykWifnI6Gf6jRfNfbjMM1SmdjGmaL1jD1SejGaz2Po4Wh6Su5UZZBXp/6mN3S
DQfjpZ6nxEPESYddlW+iRr9DNXUapfW6HxUMb/XV6EOUiqRsmPqWd4dw0Dla1dHcTBLYrSYShj72
Lm7c5NNR6eKjZIjVSRyh+28ndXqTaf5R02T2caolZ7YfIXCROfJkhEsKvf27KRkLzVXOfCR7clrA
k9wJbzulBSmWmqfQtoCeNyjiIAQenDZm9mBmGZi63gfo5VvmNGgj5cAY7OO6tg40N7nShv5x0Md1
pTvfEYC96oY2o2rmLcEZHJnGSDepNU8R8D6Ma+JZxzeuNTYyHonfOt9cVG3ZTkqFDKFz7DPdKRHS
yU7DLjoJu3CRo0lOjZ0mSWjFlJpL6YZ2cA4uLId4Hx775QjjKh8IXqP6ABUZYIaYL3GHO8lCCp1v
vZWcIfpxrDd2dpIX53KmLZIomA8WlR/DWTRafzHA8YLbFUAXUjaa4sNcl25b3b2hmLowmwZsQ9sZ
Ky1OvgdDc51LsoYiHUGl0ocnA8oclOCbc7l3+1kFx+droR/QZrFr7luPcLyw2hNPthduBwIjMYC3
D0176Q/hnP9OPdKs4lldpF8bPoYL+m0aBWjLU4ZaGoHM3Nh4JcjDUdHyHMIQcGoo2/EsG2yQ/YN2
EdhI4nbug15goxCY5pWemReSagEErM1jBwws/DwMHfy8iImq/QsJ9rQR1jqSVhCc+yK8st303pYh
G7rJOR3BhzAtv3oOVGWMx+hP86VWuat0UwcC5ARwhDe1VHWh6aL9ZLnTGPYfmj3NbAS7YozRUtaR
cVS1eI6lzgC0tHmEnpLPdBMetWzlt1mWzB0lj499UBjTIq4CoLQEAmkPhlOraDdK9FER8SebMZE/
WNOsI5qPLlBisKfYgQP/CCQU+XrgkXjMNISu3N5oKh0riKESuN0GpnWMNNkFugDB1AqcZCop47hM
UugGqVvizzykrExN/ZanxaXd8uCNzkMNYTxB6gF4qqTM4J9cOLl90cBT6DRajYrrHliRhHQ9i54c
Fa+X0caUR0HBQfUiUBYdClJhgcOONA4bTxurKUpI3jRmRic1+Li6xV4gMufKYOU0TnAI5hJcBqOa
zIfogkgfDLRORjtupGjY1K155fXtVRRTTeztM3y/kDfyaPV0KpGKFkhfCbZTNJ+suUAN+kNrYtVU
4A9DBMZjb6HESMOG5zocgtygYgCYBGtVbaZK+qPaV5AppTUQpHQe2EM6l4dxg2vyashraChmMvC4
AnisnYUGTpkBHS+6y8TCEKSoamXpqh6OxDQbpl0L2rxrWIH8/Ica9wMXpzBCw0iIDFu6KBr5sUpY
ErqZBPSurOu8LE6qGJ01VYHXmcunltQtqhDIqqTG+jztLHVhKrB05LE8dhXKG+A3ZjiX2kdFypeO
4JVMmzq90ynrLjJgVTMvsJ1p25Y6kgneytXNfpUpEDpNBNccjkY9ChYFCRWmxfp6rP3TSiBOSdmQ
wQi0SzoRHXk/fdFKXoalfpXj4UVWdql4hTrNRprccmZtAJIhNuNj8a6DXQlkWLZycy2ZozJFw6aA
70o2Xhos6qhy71pzvCvr4sKvdG/lxRIISqWZJxxwRLHNZW4rCUw8ni+WHTNbw++powM3gdn5PSxj
jgpQm75zykG39Ao/wTWruhrc7muk1jdlYWs4LTQ3ujPKK0XtlBlUCf9oRLeXaqtvTNE3EvJ3BGqx
oh2UVXiZmtpyzHEucSPlrosomzhxuDDAhCN+EYmeMVqfpfq1Nc+76nB0b7vgSPe18zTEAZz8L5SS
64DSiKmk9dJMM3DqWTXNY6VayaH5qHDQz5XeOWsDk62tS+5KMojYLSQjUAoLkFXCNCJzuuMqj7Ee
UFdWH3P8gm8aB+UyNQDvYbI3QQHsBkwRjmRFfVjUJ3C8JrWBrp1nkXYjADeL4T4vVeDpU6MMbpRh
XMZxGR4jkaBQgyrXDjyuBQlptIAsHcKs0jSokDZPy03mXe4dGgLbX4F9pu2ceTgIDY2GFkafPdro
Jay7tAamhnqcYd2EWdIt6QXQXK+LcThRfBlF94rnbCFhhyJHPQ8CV+AbqkMXlN+pAoziVB6lceWS
BB60GMfHpW/bm0YfhuXY9yrnMXwOLo8QkRS8CwxlrebGAafRoemydGwd/i/iIDOp1EGMWzknRIvr
hl5JK7/QT3S98lapLz8CUXukYfadK0fY6PTA3aVZYpNnINWi1XzGSlOyGSzU+z6A9mp4/lKVQ8zP
XI3jwTNvyV1aFJZg33YFEGckD0mCAGG3UgCV00TdYhbn32v5UNHdi8i1VhIoO+TYrFMt791p0CTK
NIrla6afW1yJH/M+PGxVz1pQGTwvK3MZ2hW9bM2C6N7LERUuWTSkyOuVortNa5DrfSyKVzMzNq4T
pzjD775GZSQCamYucNU6a9knKGz0C6XOr1BbvOdwPaudLp3SmcIixSwuAI4sOOCUZaeXXNlKdZL6
gBOtUVmlJq0uenqnloM2XOT6Dd2TaJiXPcB5zv0Yya8RWoFZzZOe9mFu0swKMnUz0q8Brt0t8WHh
cLbNE4Lc27LMj/EmssBTS3OF9hHY8DuuFvRagO8V7RE7d2WhOQQoxr/OxwrRxCBedwpXbaQcB259
5MbZjZErt51LxY9K2E0FTyXrwVx0gSMhNwi23zG8r8kgo64hxQdjcFjq5br3vAXGN9GsCexz38i5
oyXzusnb9djT7EuD77EOAT6iOFppwzH0g2Y1lEMND9xcJwrEQTPhIJT8pWwEqPwZ+irK1ONOHo+a
UtPAEVJUMJFlDLskOdNceZx5tY31RVeqs9anbNc26BHhzkFZLEmxI8P1EaPAclXB5JiVcvjd6ohh
7L45s/JKWzplmy0hK1bHSYE8ZqF1R3Fo2RxK7jKKqag6SRcSc7o1m8uIcXi7Mmvp0AysZAm988Ah
2hImg1qI9zbd0xel7v/g4ET/5dfp2GXwWJabj8mY+KvXZOyJWadouEvZcIhRnX3X0EGeliASywtd
FRy5Pxs6zhds4m3Lpg3iCOIvA74mY84XBkF2Vri4kXP/s2RsC8qAzN0C6QAEDrIens7vk7FR8xNf
zQL5lNQwQNxzpKuifMu8B5QGRmRG2M/pcSDUBgJ0GI67nJ+X0Le4uk4b2K2UNC9ipAqQraBAjnZB
Ffm3aWksEQe80FJ7nQuVg8q6U4SARoz8wYgMQm1QXcU/i8DFIxno0ysUvHBMduR4WhRKPZOD/I5A
YGYisGAQ5UN+2ozikkGAQdUlejpIMvhGOqcCaE0jwq2qocgYIt8A8nzVCT0HHKTOUGq9CyFsjAg+
OAg/kDMn9DbVH1KX3hRl8xVDRhxCEYsoHWkxIh7BmWZN+GZLcrpm2jnoOAUccJoL7tVCfKIOaKpI
A/y4VF9ayFOUVQuFCsGKolN7ZAAG64C8BrUVF1C0HFN866QVSQrINPiGq0aib6Bj7fEkimFedHlz
gQJTeR0jmxEL/QyTdi6o2Bs5MY4wj06mudyvPaG50XlY3BrIcBAChzB1myNusAPTwceiQLJjUB5o
WXzzEPIYbAMErtD2GG3ax0LtIy60dYz8hyZ0QCgZXT8hrDvyjKmEnmgtVEPgWZrgCodViKAI5lvz
HIGRpmLOPKE50j3rj0T0tsqTuq/hortWmC1rA+1bSvfBQHshl+uDzLa9eW05A+aRNYd+kcklPpuB
jv9TVWm1s4nbojsIa0OtZ2Yk98mk17pBnyZINWHsqQPq9lFjzQWJrinAoWXafeqXBZaMgK40zl5R
Y+S/dZTgx+oex1h96kTFDwH3xI8inA1I6E4swaQB1n1hifzW0qwTyVdtQM85YxB0ZpJ/G/f6XWr3
6Nn07SWYNJ8ULQ9memE8hHn1QyU1H2tuvNaKv3oo8k0oo4BJJzqPaIGWqRTMoa9pc91ooWlqWK45
0Ur3yzs7MuqFJunx3HDtu6FWsVvTTcrvVveA2C2pWtz1rJzamYFBt6dy6Hjr2JNOvLu4naUeYOs+
fNCB4BsJ64WeCsjQIzNNl2GWn7daSA0akliuk12Y6IPRQ5pYJP8wN80bN0/ipcFPbKW78cbiPHAJ
hHWpOu6qu9QwwLAPUnYkWdYYzBiqF/IkMwlFYqBq8USSfOxHyx6CZ0chhS7ZBega7yDyiYzN9GQs
88M+zX+gRloikdKW8qIYovL+6Tj9z71icMz++l65evQ3yZZ7RfzVn/eKQAOACtOFyATmYFTy/izy
aWhGYpIpMM3cLuI2egEK6PIXHfi0bevcH09lvrf3CrQ5yrcoTCDp+A/Ra4Yiqr5/EftBaeumaYh7
SmikAzAGQve2yAfFGuFBPsZpi7RUNQs17doz5FWYphL6Kt5cqYFAGVKLynDbHAD5UiZZQldMaZ3D
2ojMac61ufBCDGSlrFg2IRy/VAnQkjKTedjk957aUzoca1STl6aZNdJMk5qvFbHPxUBmuDRLE9iL
PpgHYW8Bt8V/PLfaco0LfEP8ruKfZCnfa7f6IUMsXKG6eFKqoQK6N4OiEvScykp/brWheV6wl6Ze
1NkzOaZOUtpo0MSOgE0TxmHdmTsTLLnmdh8tQq+RVkqI3lQIrhScWPCgpGrfzCpBfa3TsIVC42Ji
mo8wQjUwd5GbKqeuioBk36T8zHfSlaXECuWH/nwM4nRSWvRRBgcCzEi7QgjOFjNH6zjM3dMw89mH
6qouAUbVqbqpMQc9Mj2qZFndGhj0hReZUU3p/R21EgpdpQk5PkjgPo0+ShBlUwKSQr6rRK93LtuS
iLQvnbJc5b5sHxjFeFZ20TADvnVDEe4+K7OTgrYm1Ub/EKzImVG7V14LL6frSvTFnR9lrh/IjbM2
Kri3aiWZ8LR0a4lt6m3YxYdmGtz1YU2H3pF+9J6Npl6NumPcfjNS5zFPkRBS0OyahmltT1Ks7CZt
TOyq+Z5/HKCBMonwUoZOk53ZQ/g1kq0EJWHuP/R9e1COTjfHL3OcjFV1Y7bVnW32CGWq2TzChXoy
eIC38rj4mnFGLxIZlfneNr1ZJfdXGY8+jtVWozorE+qP6EqaKKhPPb05yytKALLVhfNybO71vL5t
KfFBxtYXrqY85G5EjYXy7mHqqnRKbQTqU6tdmL3moiFWebw92leNTIglu3pSTgKFbl+uawcS8ihL
z06AB9oZGyGzfwwhouVR9V0Tot2O21ELCCuSFbP60aW5yacFJMnez6d5GsULOKgT03eRQS8dtD8D
9oiLcNOkzfxx5ioIBAiSAhXlpdfSoPft/lRr3ZVqpNSv01MzssGYBYtGPUiSmdutHcas9PoyL7oa
qLsFbcy8sZzklGIRZHktHGZuiF8Ifo9yETxWaX2LQysy6j38mizMYYmTIU4zB1GzOgTIHuVrelHL
iqJH5TUHUeEd1wmUckXFzBAkgRq3KxjuhFdEW5Oy70+TWB0PbTm+86vgxDDzdGLKnXUAxexYdZKT
oM6XsaTVaNIN1JSiaBTwavrtvoKNiqcEB00YHKtNQCUzv4uVnqpLV5HlKe61bhk3TVmdqkmkL31A
ebM+VExof3DHyxRpL/RdaNc29dLTwdA45thPIQpfdKZ7M7p8Pnze4cgHGkcPf+clAD69Op7lYXTg
juVjkWr6XB2h5xXUZWRKslMf1cuJw7RO29q/UV3tvO6oGmhBM8wRrdQxLC3NVVTIPwzFOdKD4Djw
feT0Y0D7cYo4bhLcjaZ25QpwbOni8Fpg8Ik5gXIBVusOoxvCMy09VyUgMMpocyk3y1qAEYrUdikd
t+el3yzdVL1q/YrQRfIg+9mH1LFpgVjJeVxg5GsF0qHfxdeBUaczue4PzcEG4oqgZ92rhsBUxlMz
RSUnprozG2V/DSID4D+lbMor8Q9vdK+K3ENgUCHQ0QLwO70fPpQ5pMxMoQFvd+OMZESdprQEjjqP
uk5t5wurA6c/FuP5oGndXGqB0kaOd9kjlt+owFLc/Mhxknah5+UhUkyoZii+R5KAV7nWmZghm3gH
UJu9TYhBak/eFFUfLHsVd2objwx4mteq0R6PFg4AqQoOqNUXJeAWOJ1HQV4S6br1amQRTbuRxJg0
aUlf435U8rXhcWb3jgaxTJR0ysc6DNZ1TybSe3MLb3IUipopaiV3GbgikDvo93XgOSJ5ZdWcpl69
0FsWAUAVTu4cGwpUB40ojcGZWFd5E6xH3XiMag7KQDMz2OkCzENVvKblrsATmPSVc1o6o7dU9e5r
zLqlDgwU2OpKQKgqpqrgO7ELaIkpRwBcg7fh7iznWeA3GG0O2RwkIQ0pW0L4DK26ZVmVt0GkXBpp
E1OMda4Vq74LMTyfUFjrqTuzNGKIoJwgFABV+ztpT78sIeHx+b5TmoIRYWcPFawHSkEQHVJfG0/S
KDQQeC7OuPOAVfG7LvePaoeKPokCNA4pmztJ8+AK7WXZKh40Pz0NQ6eaupIboc/hrhUAM6j5Dcg5
Zk4LNq3WEeprgAHVnGCubeAzJ7PL8iAFS0GpuvFWA/KIc4tzUgKi3Unp5ZCNPni88BuaLPcoXk1J
bvH6c4G2hJRDR7e9VKgXTdFetEBNWwfIrnEVpzr8LkIjJKbHYWpKSnUqELTekPzAZjObott62lvI
nNCFOJZRG0BhMv9BzwAKlu7cdZmkzKUC+2oINJvIByiSA12QQWScl3a65jSvHHett/7SD3QDKZTG
tw/AajjFSRbHmW9OykAm+aLu3Y5zWXEK/9mE7D9xtPFbJshVE2/Kbc3yNywQlN+AeLANNFC3ovH9
VxwNFpe6CDBchNfM981y8wsKsJAzZNHMFqquf8XRYHFpaUMMQSSWTruu/JNmOeKyP8XRvLGj6GiY
8J+ggmXa8m/jaECscpEmWXOCwgyHEYCocuDgiaIarcsWwGUZA4Wi2D1k7joo7W5mKF01LdP2LKmy
AwuS46QyQGQImXUEMY/8JlwPFo3CDKccWNAPrYykkpS19EQl/D7cTl1nowBsyaY3TSrBjpSBSZnf
1Eq/pcwO+8F3iHtiepuONC5iXZIAb/pk5CUnEgoWEwTJvhp2+i0fsuvWBwia1ZRvXdNE95QOc5/e
1I50gyD5ETgxXASDdRv5x9QPvlWZnQjN2bNSM9DY8WwkHmm+4vtjLkn4cY7L7ijnDnOQSbAQkUSn
9dmBROquBxVHYcwiFrqOeYoawgqG/xxTrLEfCr9FADM2j6s6vupSdOJtz5gbkX2BcutDUTlnFDAA
3BcQTmQvrOdu153YeXuLxuW9W2d3bqGeVll6ryNNMG2i0ps3NNdWFZ1xL4cJAXBAD71vsQrWL4/t
fNYhuMQxmN13irOmXlTPkoG+Zq5qmMHpCSFvwdGI+eExjHjEVl38o+PZyI20GLAQksvu0HOclYAA
DmP7A7WbRysprzRQs1g03CbemMwISE8IX6eOXFIb6iz6iDLdA7UvzHOC37Xv9D/i0KFNhcJ9hvzn
tClDCCayeqN7xoVeDy7FrehK99QfjWq2BwNafhPVaJqFrjW3iQQENvMpLhjmoqkBNJIohSRb8R3a
89FCzRsIeIaMgqVF2U50S2Wd8sEYLWSLLiYI72VR+2jKRwAcm5ynltRqN1UNc9boRFAFOFMzqPBK
qvKjwE2KwzGJvFkZupBgu/HCio1llxqLptCLqT7SN0dciP5h3UMXpD8340YkArE6aWqPLOKh4hkm
au7Nu3K8BJzNu6Y2wMR24crN5Whrh0GHfr+lklVVhevNvBhQItDW+zrrb238Ruix5d9lJSshILnT
suv7SScHKyw5YN5K/kpGHGkmWVgByXK2NAcZGVScRAB4OyvYUQMcePsxCYtju8+Qfa3CfI7W1oHp
DQOQEEi/XoLAcYEav1oG3LekFciQf69EP0Au0SDWx3w8S3pTPdJTurE9JWXvIFYdX5tFUXej2lHZ
glSv/OAr0+DWCHxYOB6ZgaEtTJRY0yuriesMOlEOasQp48qfKnZinXFJBiY9ITB+WtF7d0GTz6uY
JTTRfd09yatqEtbEUzY1KdnwVr5FFOYXsoA7G/05+HOEn4oANo7VavTF7XickTxVxUGDMCXwjQBg
3hT+QoyazYB8chefZ5nZF0vUH9TbqCP5WcdpDmUHpxGYv6Z1L3sNmmj4KpTU6iC/OkK9RzcKGoGq
5V3JtRVXd6rbergHa6MKAldOTPcb6Gp6z7IKjIg8vKe7+/+l7PRyo8829Wb+ZBF03jyWw8VjxTOr
XkFX4rdnWZDWV9m/949+P9CLOdHVkD/+939tHiCWz4KqLoP7+m2nw+BS/KmG9fSZnj7w74aIN1gf
NQ+MrcH0F2UiR0HXVLy4e+Ms9V5+LSlcwMDYVIubDywjr7eP8Xez8Psv+Dydv/83v/4GInZ4ejR/
uTfJP0chf2cm+Js3U0GooaiUnA2B2uRFQPFuKlTlixCfxfCQSaJy+Gah/Gop/P4LfvIkiI/9byyH
95NgfbGJpigXak9zIFR430+C+kUFuIjE/l7OAbEgENx3Zd1/vBB05YtlCLMfYr2n14c50L9gTKAx
B3s7CT/Xtv/xJGj2F9qecHd/tRs4GCxeOD1S297D3cBKeN6mzx7efx5V/+JwfL8bbAr8FmV8m+/4
fhvIfPunXu3zubmfJ4LBKt15N8hkYKLDoZFqiZeYobc3BGJsGtkbGdjzztu3Y1Gkh7tOguaw4x0Q
gAqj/WISZBzSabWRHO7lbjB2PheZBKIAgxT9VyuBC5Kels1q2dNJEITd3S4HzkWA/SpQ/F9NAvB+
W6wVfW+3w/MS3e1cRGbDARYDlVG8PoRK6hcForRBU3RPV4Ky8w1JI5cCk4IuCA/6/Ymof4GXTNUK
va2n157OgaAJ7bwb8EQEAPQSLYoA9P1UMEmieAbk4+nc3Nd7Un5ep7vsCeqR1Bo5Hl8SpZ+nQgRM
EPcNW9nXK0LZPWBSedyqLdThn+9Jztt360ExvhjMEViFPV8Pu2dSwowMyzEsOX+aAwImoIhCo2hf
0wdhnLbjwYBMoIxfC+q8z0fgh90g7lH8iwGn7Onp+KGv8c9zKPOLpkHmE2ohr6ff+91AWAkolRNh
XwMmZfeAyfiigWUSYKRfToIIJrD+eb6O9i9/UHbPH1gJRIxAfynZvYQEP68ErD0AFQsQ117mDy+3
1i43JB6MXAwWbbznlbAlk6RrpwC63tfQ+YMm679zJgDxo5v4ZNfMUtgSOlNvQCzI2ddJEB4zu90O
AgNJYUkILD2/fg4TQOyb/Fqngbuv22H32Fn/ggapiofpy5nw80rA9UyFD65bbBnx2tfY+SXR3eVk
4JsaJAmAXp/XA1/13fFIyASMA9r63ibVL4nuLpNgfqGwQFBovdSYPkwCBlEmWTWdmD3dFELLYLeT
QTNQnlbhQgu5NPHaMgkmgQRNmH2dhJens8tKAA8j+EAGNmBPr59PBrYDKBkOR3F77GW0oO5cXqEz
yVJnM6CesXUlkE87Jvh6lYDi6bWvU/F8bu+yHkThla9oWS9Z9YdNoVGetkxNE+26vVwP2u759NN6
sCyaUs+Pm6/68x2hYu2tO8C99nMSXtqFu6wE6wsONo6JJMPzJHw4GYisbAr0CoYx4rWvUyEEaXa8
KWhQWlQXyCx/Xgj0b4GKKtRg93Uh7JxV06PG81EgElEDEq8PRSbadmhj6+TV+zoJu2fVImwUKM+X
zfABrMAVwZGA+Kq8r8GCkHjacR+Y7AN2gia/NKQ+5FIKelNwIlEG29OVoO9+OXBDasLnFC720+vD
ucgkiBRD39us+qV7vsvlwHZwqDExCU9nv2h2frghSaoF4X1PV8JLCXCXSWDLm+ikaQIWLl4fJkHB
IkCo5e3vSngO6neZBI02DPk01ufbtwOIe9vQKDHtbYDwwU/5n1fabCG7Labhpfq+bSUIfgDWyc+v
Pd0Ugg+x4x2hQbCQUZ98KcF/yKpZDxqABqrP+3pRClGMHSeBfBFhdHrVL3fEhwRC/kLZgZhKmFDx
XvvXiBDyoTtOgrDv4iKkzvTnon9/RxBYyhgxKHtbafvgPPPvnAwG1HtKaS+Vgw8rQUTX4v/oW4nX
vuYRLwt1l5uChj1EKYOm/U/BAkcCqruI/7+ulH3dE7unEcB1wO7xTV+qzz9fFEwFMqkyl8m+zsHO
HRmqbbDVZUtoRbxehu/PBWG5K6Nl+1LJ2cPD8bn2tctmoO7KXtCRdHra9ttiR9Whies4z8Hlvp4L
+u4RJHrDugxExfxVr5YwGnkTEIDP77V/60HfPWLQxZoXZfZfQ7pMrFJ0pL1fN81exg3CBXvHuEFI
UyOPBhPoF1vj6SIxdWr2e3pIvpSFdzsfRDsW+MKvqq/KF4HmIbnc1wjyg5jePw+ewLWZeBzBifjF
SpC/8Eu2jVAZ57Wvh6Sxc1olEMDAergyXrb/hzhSJaMAAwhvYF83xc71R8GWQjyRpu0rBvinQJJm
pck9YtC73tNJ+KAE9o83BSsBRCs2D6/1RyLFn8MnGAEkVQINuM+bYvcMU4g5CFcB+hOvX/X9VMjw
hVRFQZ17X9fDZ6QU4gjU5F8RJERnwqH0hBfo35+EvxFj/UlQnvrYsDxRk5F/2sZg/tU/eKWsfvz9
G87tE/P43b8UVOXnN39m5or//T/vmMvqU0HlzW9fCyxP7/Ty9y9f8eObv3uz1+/1+sMVIrCb8t4f
nn4xvHzQExxo//u//jfm/z1sfmYMi8Lo68+20KzfAqB/PzpqN4+vA72hIxN8/vVVf+Jw/+3Bk81D
Vr4O9GZwbpOdB8cprN72wflwO4893cSblkdSvY715rOz6XcfHwuW6sMjJdxg437C4Gldbv6YZlW9
7S24MHd+i9lj/McJjnjb5p9Ufufx5/Efs6xk8byO9Wb+iVF2Hn9RIim3bXAOs50HX8aPafo6zpsP
/hnbddUk37P4of44vOCD7fzRD5L8sQw28etQf316Qa3ZfXj8cl+HeTP0Z+zYo8dyy5wL7MDOn/oo
SL0tB4EA1e889vEm2rKHBFT9E4auqsdtc/IZG/Q4q/7439R7jB+3zcxnbNH15oED+HUe3qyWz9ii
600ZbJuaz9iiYmycNrZ8dIEp3Pmxrh/Th+w+2HZ6CVmPTxi/vH98eB3or3kX2K/dB8/47K/jvBn7
M7bpOts6J5+xSxm6fiwfhy2f/DN26skm37ZaPmOfnjy2m4+xo4Gk8+t32SF2PC03HAGvA715nJ+x
Rc/izf3jlthR9NV3XodnmINsC+5Ek3bnwS8CQscqeNgyM6ITvvP4l5v7kpQgrbfcpaK3+AlvkP4x
eUSobNsbfMZWvdyINyjTTfmw9SDTPmPTijeZBY/eti/xGbtWjL9gB9wH1f229/iM7Sve4zDbFM22
20r7jD0s3uFfG8s/aVXtcFKId1lv6sdt8/QZ+5nx680fk035fbMtZhCdlM/YFbzHFDXQLYe1qM1/
1juUzfg62F9nqiDu7f4G/mZrTihEdnYf/HdGNjsvoKCKgiFrXj/nm4n5lL2cxZtt0YPAkOw+MQQm
25wYRFNr98HrDb4e8aapXgd7MzWfcQ9fijLLlntYYF53/vS/NanYdc1cEeMH9ZagTTROdv/ov9MF
3vmj/96jd9fhv/Ltm23HmPEZF+9dFm855wVhYudJv2u+bzl8hTLUvxh6W1n2T4Dcx2Ltq7Dhtj97
X4sW/+I+ftyU//N/AAAA//8=</cx:binary>
              </cx:geoCache>
            </cx:geography>
          </cx:layoutPr>
          <cx:valueColors>
            <cx:minColor>
              <a:schemeClr val="accent4">
                <a:lumMod val="40000"/>
                <a:lumOff val="60000"/>
              </a:schemeClr>
            </cx:minColor>
            <cx:maxColor>
              <a:schemeClr val="accent4">
                <a:lumMod val="75000"/>
              </a:schemeClr>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D58421C1-B9DB-47FF-9D41-67C69EFADE45}">
          <cx:tx>
            <cx:txData>
              <cx:f>_xlchart.v5.6</cx:f>
              <cx:v>Sum of Amount</cx:v>
            </cx:txData>
          </cx:tx>
          <cx:dataId val="0"/>
          <cx:layoutPr>
            <cx:geography cultureLanguage="en-US" cultureRegion="BD" attribution="Powered by Bing">
              <cx:geoCache provider="{E9337A44-BEBE-4D9F-B70C-5C5E7DAFC167}">
                <cx:binary>7H1pc9u4svZfSeXzpQcLSQCnzpyqAUXJu504y2S+sBRb4b4B3H/927KdjEXRGfqtuG4d1VVmKYVs
qMkH6B2Nf992/7pNNmv1pkuTTP/rtvv9bVBVxb9++03fBpt0rY/S8FblOv9WHd3m6W/5t2/h7ea3
O7Vuw8z/jSBs/nYbrFW16d7+598wmr/Jz/PbdRXm2bt6o/r3G10nlf7JtclLb9Z3aZgtQl2p8LbC
v7911kn4LVdZuH67e438/vZmnb05r0P95uprqIv8jZPXWdW/fbPJqrDqP/TF5ve3O+ORt29+G//s
HotvEniKqr4DYmodEU5sLEyO7j/47Zskz/zHywYm6Mi2EcKYiO8/e7lOgfL/g7V7xtZ3d2qjNTzq
/f+fH2jnueA1/TH/9dxuX9MWIR/A+v3txyysNndvbqp1tdFv34Q6v3+Pqnfy7Tv4eHP/0n7bxfg/
/x79BbzG0d88mQbjd/5Pl3aR/odZ4OTwNGsAX1fb//7qKcCPEOZCUMrE/YePpwA5wtTkFsNw5WHm
PUyBl/I1jf/kKDPAn6Q7MOQ/qBDmbv/rQTfREaOEWcyyH0Bn+6ALE1mY2iARnoL+Apam8R4PMAPq
McmBofxHAhL17jWWNjviyOSE2/RZlAkjJrNBbzwF+QUcTYM8HmAGyGOSgwO5CLPNr1/JlB/Zglo2
tsxp8Y3FEYOPZTFzDPJcjp7DeId+FsQ7FAeG8E2wfhUFDbIasLMpp+zBRoPFumujkSPKMeJgyO0i
PJ+jaYRH9DMQHlEcGsJgjsuNytbqLsxewxo3jwBGijmlD0jTEdKYHRFQy4JNGOMvY+wZwKcfcA7w
05QHNgGcPKn1ayhqcUSQIGBsWc8ucQQzwxamtbvE53M0jfiIfgbSI4oDQ/gmz/L0NRDmRyYVtmDk
UYiPlzYhRwxbtmnykZqez9E0wiP6GQiPKA4M4fN1/BpmmDhCJsUMiUfRPaGkBbawzdlISc/lZxrd
HeoZ2O7cf2DI/pGu73L1KiY2BR8Jke3S3LW8wI1mhADm4nv0bMeNms3QNLijB5oB74jiwADexhwX
4cZ/DdPrXvwyS5Bx+AtsLgzGNxhl1oODtauAX8TTNMz7Q8xAep/owMC+2KhbiNo6vzzeyY4osoXN
bQh6bj9jwCHkbXIsGGbm1KKez9c02iP6GVCPKA4MZ1lX1esoZAsTCjHMZ+IiBB9ZlmlDZmMU4ZzN
0DS+u+Qz4N0lODB0r5Macm2vsIrFkaA2swjFD6t4L4CNjiCpJSyIje0K7PkcTeM7op8B8IjiwBA+
g4DIK+BrHVF2v3oh+7j9jBOTENbcpq0wZDF28Z3LzzS6O9QzsN25/8CQhcz0utmoV1m+/AgLm2DC
notpQt6Zb0Mi5shdehFT0xjvDzED6H2iA0P7fQhY6/DuNXQxPRIcWZQ+ruX9xQw2GcwEgseBzRcx
NY32/hAz0N4nOjC0F5vkzWUO1S2/XnSb+IhZJvjF26qC7WdPNZsQ7TQpZB1HaccXMTWN9v4QM9De
JzowtMFZhNIRuVZf1/eFJPUvriIyj0yCuM3EozEG6YmdOAkoa1twakI5wcOU2FXZL2ZvGvvpYWbg
P014YHPgYn0HuvzXL3dqH4EmpxZUk0xbauBPIxsKiEw8ylrN52ga7xH9DKBHFAeG8HGdfs2Tu+rX
Y7wtF+I2Ns1thnlnZRNIWdqYIigymVrZL2FpGuS9EWbAvEdzYEC7yZtFriDY/euRhnISRoQNfvUD
nGIsymE1Q50ghnrAB2NuFDx5EWvTiO8PMQPyfaL/Asx/zuLOU29LRP/4rjUnCn9fWvcLhQQQ/LJB
YU8L7a3GxpCsxCC17z/ff/ux9PNJ0fJDxmOKp2l8wZOaLnh+eMSfv5T/uuLd81y/+SPzN8nmNaJg
5hGyCKHcfMxNjGPZmB8Rk0L2CjKT289otb6QuWk8pwbZmbvTxdtTZAeG/RIq3V+lTsiG6l1sWxZ+
3t5m3II/eBT8nM/RNNYj+hkwjygODGHYU5CFOlnXr7G42ZFtIga1nc+VFOAjhLbLm40K81/G1TTS
E2PMQHuC6sAQv07Wt5vXKTLgUNcHhtWjRt4rEAK0GZSYIPJome1q5Pl8TeM9op+B9YjiwHBeJZvs
NfIa4sgisK9C7HtSsM1GcAzrfRQVm83JNLC75DNw3SU4MFg/1MlavULQE6IgULQL2+UeK4H2Q9xQ
4ik4B40MC/tpkdB8jqbxHdHPAHhEcWAIQzDvzWm+LuvwNZYvOxKwacokEO+8/0xIaSKICTUHD9Gw
kcH9QuamEZ8aZAbsU2QHhv1JWmxUuE5eIS4C9WFQG2ZtFfAk8Ng6ssAitzAUCm4/I+Bfwtk06nsj
zIB8j+bA8P6wCdavUa0N8U7A0Qbf+hkHC6q1ITWNoXzoQQ6M0J7P1zTWI/oZSI8oDgznrehaqnV2
G+rb/Lv6nIg4geX0su3vDOLaCDHQyz+M6t3wNtlmtrDF6Sh3scPRHHEzDfT0MDPwniY8MNhPsv41
Qtw27IolYIWzx8rAcYgbgmaw7G0bZsX3ufYQ9ZzLzzTWO9QzIN65/8CQ3U7fC2jH8BrwMijfhfID
KPx7WNN75QcguwnHpjBHUvtFTE1jvD/EDKD3iQ4M7TPoqPIaATLwuaCADKztR6T3FjIkMeAaVPiO
awTnMjSN8u7zzEB4l+DA0D1fa715BV8LjDATdrVz8ehqoT1fC2oE4bIJhSe7cno+R9P4juhnADyi
ODCEQUBtO8+oephj6bzQBIPyEQaWNMKPpUHjFBaY2rDzCqw0MaoEfRlX00hPjDED7QmqA0P8Yg2d
Z14BbAifMBMCKOixvGACbAv2v0Ml2cj0ms3QNM675DMg3iU4MHQ/QfyxfpVaMKjs5LBPHT3XSwrK
CmC3JEY2GuH7ApamER4PMAPjMcmBobydwkX+Ku0K7k1sKPjjj6oZDOkdtxlgFrbJOGx2f7DBd/Xz
SzibRntvhBlw79EcGN5f8uQ13CnoL8TAU4aNdCOQYQMdXGAY6v924Z3LyDS0O9QzYN25/8Agvdhk
d/nt6/SaEUfgAkNxPnsMaI/XMKFQpc9sSrf1+08TVi9iahrj/SFmAL1PdGBo3+TJ+lXKhaAIzILC
AsYeC0n2oAYT2xTcQuPNVvM5msZ5RD8D5BHFgSF8kcNy/vVmNey4MQWCva7ffai9Km1oIWZCwSds
lxyt5bkMTeO7+zwz4N0lODh0s2qjNq/QrhOqC2wGapii57oH4SMbmgfZdNzJ8QJ6x87l6TmMRyPM
gnlEc3hIv46pRaBN44/GFHsb57beE4RCBFjV42U8T288i/DfTzMP3b/vPzBkL9fFa+yRAg0Mrb9M
iETfFwfshzIhJwGRTAQe1S6yc/mZRnaHegayO/cfGLJf6q+vgezWjMZQ9gGL8v4D+O24wts2I9Dz
i4Ns3kV2Lj/TyO5Qz0B25/4DQ/Zy06xfpX0yiFubMAhnPe5s3EtAQEkutM4Hu2oUmp7P0TS6I/oZ
+I4oDgzhK6j98F+japNCVRd4Rtx+pkkQNP/iFnR3s8f1XPM5mkZ4RD8D4RHFgSF8s75V0AU9q/62
LB5iDr+iyodDA2Vokg1nXDxTEbD1n7Z/oOHM9jOKZ72Mt2m8J8aYgfkE1cHhvm2pDIccvAbuUOhj
QeQDNqc/4D6uDwDdbCKCYGPzSH5Dgu8FXD2H+N4YsxDfozo8xLfJZCjDh/++RnM/2O0IDTmfa+6H
j7ZF+KCzRzvjHnO6c9l6FvO9Z5sH+h7ZoaEebtSrAA77aWxEof3Ag+je96zQEVyE5iQQ3pyS7bP5
egbxXfo5YO9SHBzOOg77vP71S3vbVohCJS75fpjJnjQnRzZslrSg2ciup3UTzufpOZRHI8zCeURz
aEhv+3a+xkZI8KgpIdAb7rH2fq9GBGKd23zGntd1M5ujZ1DepZ+D8S7FgSH8oYbjDtJXObQG6oA4
nGQBGN4L5b3dctBlBGQ6xpyM1vJLeJpGeW+EGTjv0fxvIP386XM/TvhbrKu1e3824JMD6H5+9f4l
wdmGI9LHjO+E9/Vdtp7c/f7WAsP6yZaL7Rg7qeKnrT4e3Lm/qTZwWs7vbw2MoYPQtoEFgnZwFvQs
gAHbzcMlaC4EIVGEYBs8h1Yl23rtDHrWBb+/NSFjibeRcrTtTwKd5kBI6LzeXqLkCDoNQgU4KH04
MgdahP44v/E6T3o/z368kMfvb7I6vc7DrNK/v8XwG8XDbfesIkvAHh9o229D8oXCvj8wG4vb9ftt
ATHc/T/VQPOirOvuMmupcJvWCwqZ04jFTsza5p1tWP1p1DVZ7CIUV1+q3Gw+xqbuSqlFVn5+8vam
uIHU+5gbOP4Fip6hNzUc7LWtvHjKjZn1RSyCurkkZYYv/XjIPFmz3A6crqlyIZvWrL+wpjBCqVJe
lU4ZqdiX3qCZ6UBiIbsTVYWuYIygXpAkwR8Hy+B41duWt8G9gbvlzzkm0CJ/j2PIXUEVL2ychDZR
aMRxyALAtq8uaWf5/sLuhuRjA8louqxYn1uy6TscLULmcTkwuw9lHyO6ShvV44Vq8uou6LTGTmgU
1kLD4ZyNrNIANZIpK/ZdP4+C67gWp6kWgV5AjFZ80kF5Fiet1bmhNuyLUAVNuvr5U+3DADvxEWwI
hB6G0Bz+/qGfTArWG35rFIm+zCpPfMp9jok0YwJTo8jq7rrtlLgpPJz8+fOf3c61p3MRurjAIYyM
QltUKKAkdMvWk5+1UOebhfazy4wP+BLHQX2ZaeWE3As+/fyXYPns/ZIA15hBcTWEtvlonhWZ2Q+l
CvJLXiBzXba5SlZexXsi4yJwUVkng0NRz3Mnolab/tOk2U6K3QeFiQJbdExo/wrdxcY/D4nQMPCz
NLxkZWyt06i21nGy5cEaUu3aKs9ljwD6VZuULZFlnLNNlQh90orePO9sqpBD2yiPnYhl6UeqCkIX
Ae/7TWE0xQIZQ8ocS+SmOraoPdTy529v22VlzD/big1odwin60H11C5QyK6tzLI84wLXXroOVaV9
iY24ykxJ+z7zT9sgjL/6XBTn3VAGSzs3u9AhuGHfKjYMudMHPnPMPGo2oaLsrrGKgJ3+nEnT2gOZ
mhQm0bbuGkqBLAaq9ul0shUPkQoqehGZZeEJvqhEMKy6qqNiWTV17aiuRO+atLdqGQQBcxTOVpqo
YpWYBXHipEzfF4mVdpIlrf+5jdL8pNdVJQurLD7aOuYLr8w8p86jKJRhRaNWepHOLtvC0FelMVDX
97GIpDF4WeqQJkiPLbtK3pPIv/b7jHYyqVl5WXnlh4qkBl3YDYEXGfYEZINZD4NELY/Ok8DiXzxU
m6eBzfH54HeNcFoUmKkDky48MbjqU9n2fFjg1jIWQ9TdFrqsbmpksEC2acWWni7rE9Mj5EMZ4DZe
eczAoRyC2PsKwQbVyDArjb/qlKWLotDkJM6z4gSXIrkLm8KGdU/T+CYUXsdkU5r+qfJU7fTwHlbY
JOKqbNPONVtVLjHucOMmcNqq7zStz0unIYHnppqqRV2Iq8AzfLTAOK+OQdWQ1slQZEteseTPLkXB
GVGiuLFoZa1qERlkqe10WHM7V65GXTQsm5j7S6Pr0JropP2m/aKwnIFUqJaZTxp/2VVRDoujbd3e
b2q+VLkXLJKKpscZ3CqhrlPl8KLThslIR5HhMK9lkuVWN0izSjyHVkaWrpQdu75Z9+hdS7EJ5x0r
lMgIZlK1pFUr9KqjrDu342FIvHd1W1ZpKvsw6TN1F3gBIcMX3RodSwMpFIjy/Jb0aVRRBd3y67pA
l1VcpXF3KsJyWDWirryTVIVhISOS5DeIGfQk6imtnRow8GRfItEBXCnni8zzQB9WSdyWrh23PnJU
UmHvKiiRzfLjuGdtsOi7RFTntq4ozKjWy7FunRp04dI2gsi7amDp2L5T8oLDhKOxTpdZEiohkxKU
l+d2TWg7hgft1SzZeygz4fBeL02dQNStt2wTlqSu9sAqWFqZnw4OHyyQmBmJzdpJA2UkstG9r691
aKSpm/sh/2bUDQvRAuWkWoUmr/mlZXi+d5pRVjErcrJOl0N/rMH9VYFb+AFLXU83Q7kUSmfhsk/s
tD9GWqeFY5E+CR3WWX2yUmEZGg7ASj4bRTrgBbRpjtMF/IuMqyRChoZXnmWfozQV6QlVokrcOKjs
90NdUbqMjJzgs6ANNMskC0hQrTzVFNkNKGN6GvkDiZd1ARy4eZX4g8txNwiHR33RXqS8h6ltwFJR
Cw/j+lRRy0oWvkf9esGyBuAMmQb7JBsiOmySGE7QWnBgIF3QPg3KE4xC89gPWWw7JI5Lugjz0FsM
tRdb0mhVIa4jr41Mh4ZlNMi0iAbjDHmJucSF51vArmCFi/tgyE+CELe+GwszaOX2PolFKDKYPj4t
na4NjUFWXWj8pWBPam/IENYRucRDFg6h5I1p0A990pL60i5Eny8yUVYXVp2BSvI1i4FApBTelhcG
OPsy4CQLTss+Tbqlbq0hPMOVX30wI2Ktrc5LPckxTN5lnXWMutoeQmC+xlG6SGgZa4e3nhvisPyS
tC1YFpEfNTfastuvhQroccNa33N5bCEiM+7BOFaSR90yUw2+HLqCmu90ZeEPuDLgjtY2NHcq3LPO
bUgahceqI6Q9yZivyVVoMPEpQ+V2ckZRqVcs0YG+7nqz4g4qW8AmaDNgLNcgdM9Ag4lPlCOY3SlI
SbWAc1S6/KTSwiPXkarj+D3hmTBPOjNq64uqq7bGZ9B311Zs2J2btyn8dJ4PQyM7klbDCsVs+/Bb
1luQT8BXkeJL08rgKerSglcVxHk8OCJuYOkUiR+H7zLFYMmrGqwCH66BTCVVFlyV2OxVJmkRIIC7
VV19kRpBoWWI6rJbdlBbRd2+KclWaMBicuCJQIB0Am/t5CpLP3nQFfOUN2HIJQ+sGOZF79vrNqPA
Rqei/j2tOqTPfDBzo7O8yOLohoO2WOkM4ctS+OUXSDfYpQzMICSnOfdFfeYFud8sesXKFgzcnq4K
Aq/VQazsb+Mktq67WqP8uER9E39u7dTXx6lnpN/6QWxlSFgmwQL8AE7dkPSBXhZ2Kj4byEuXaVv4
pWQmiLletcH7MK/0mUjjyFpYRBEfxB606ZZNQMQnFRmN7yYkg2UyGB4VJ2aW43KTgkDuT6ErEayN
diux3cgy4I12zdC4oGTa8gyrmtiOJ5KqAU1LGwSmdxn9pUQjPhg9mOmng6gUvqt01muZYsyak7Al
MFSX4mBwzNa3/ZMCYGkdIxb2csibprroepbcRI0uJWf62Ey7xjoeWhvAiRHWw6pI4jy/yOzOPDcq
ZOZuUGZpc+b3bRE43NJp8AEsEX2HRAZiBESnbmQc6FZL0Ta8BC3QlzeJX+LwT5wPlDdyAAus/1hU
1BAwmPaUGzAj9k8Nr2i/Bj4yGidh2o5PQoHwu04b3rBSdalDNxxqmKQhqSJ63cXJYF2mdpEksiwa
ZF+YODA7pwfrRrttUABqLc9CX6qBpSA7tE5c3NFOLZqEcLUaeAmzPzY7ny16r0fa8Qptl59bq8cf
okDBXANNJz7BXE/1dSYyDAKWFCJa8jSwW9nVXwivW45lHDfso0Wysl20ll+ZF6aX8OZ96WmhQLnD
jHaLkAKa4Dj03XlIqzg/Z6oI6DXpUGKfeF0u4Lm6zvAvYmUU7SLVHsgMsMbq6iJJPOBfidhf6oDH
waLtEDrpSxPWfW/bLJSmF7CLe6v0MXZx/WDkPzjgt3nRq9APqtHX/3zIU/jn31uaH/fchyn+/nYR
3qpc59+qn9612uTbjft6fNPOyPDrj9xtwxc7X/ZCKc8ES95vdJ1Uz1x8PpLyo9RrG2mAwjC6LUJ4
YsTvhVMej8h+GoH5m+x7PGWb1NwebsVBpXPosg++yY94ChwUzCA0gigliGIClx7jKRQCclACDocw
mNu9mBBf/TueApt9oO0N1DDBjh7IkUPT/u9PugMnxJAev+/GU/Z8Z2gfDGU1IFPA5IDjEkeuJe/8
UtQ8qK+isCpOeSLMC5V1ZzxLSseq1Sc7TRdlVMXHWc6SYRPkujTe1X0PNt4QOmBeJO9EUGSyivt3
lW+e5jrNl2WiQ4mHHuICMTZWYdKY0iyCpR83wQkYn8jxC8+UIB78wBFNmS1TViT1Te8XX0TQ59KA
s4YkAwsgcgqizdOmM4ZTq8i6wHN63oendRIveuIZx5WhvvkiGyAkgbxVj3NwjnAsTpLabz4V0ALs
jIR2fMFpBrZ/eFPUNChcnvZoWWAeLhploAVrRLbI6UAXSRISSWwB4gKLs5ipyi197FgVqZZWV1xy
K2hkQ3OxbJKhk4ZXgUkRZO2xavUl1lo4VVZ+Ua1/3uPWDVC/IJpcINM/a4cqkFVU1DIEUSgjzp22
1rWbAcLS94zKhR/zv3ltbv/VD1HjLUurDCT4RGCuBhofC1W/D2J6wyOU1SeFHRjVuxBn5TF4NU5W
BvZxafU6u7ErJJQMao81kjLPXFHcNpG0POtb7NXtyTZdtKqzOF4MaXbdR/rSNovTLAkuS0TOeGUs
c92eGqm9yAcQNWUmUTQ4VljctRl5H1biy6uImP824WHBSWc/Ex6Pux3HwuOB7LvwgNYnEM6CLZoM
gaK+D6t+Fx5QfGwxYWEK5W4QdrVBUn0XHiYIDzjKB+L5woSVDRHXH8FY2EQEDu5D6Tq+v/QC4TEO
q1hQQws9byEHyLC1lVe7AYsOGX6jVFZfDn3slKqWvrZkyNN/Ct+gPRkl4GQxDqIQTqwhcFbJlpEn
gTYMtk5pR2ZxiWpLfIyD0rCdlCX9cAzFBZYCFzirzROtveEmImDiwhY583PEmf+lyCN+qvxenGGW
QlgAwpTdddDT97TPG/Cre5/psyaONP2r6UqbX7de2TTLCOfmojGbUNqxkVy1UaKxGxZFTsBmTurG
4YbvRTLUXvZnGPfCtfig0EJnt1ZitpfMLJIrs0ZF4uAiTvpl7nXUSZpaGonOW8nCNqdXqMFWfN4k
0ZWq4hbcpawDh/UatutuLF3cZaUPYRD0gTXlMQS7V5Zh5yuC4CmMInSF6S1F6lpdeuL1fbmgcRou
tMKLpC+/BTx4PxTmJSbFt5o2Nwn2wQoyVfSFxbleCD+uLwxWqMsS3JjTJBQXhUgTdxiIlplh0G8m
hIWOwZxAEFEtCzdtvFKGiWG5pOUXtBKXOtPtYiC8WfjhQFZVxj722PgzIUG5gECgpWRV+YTJmpIA
poWXulAUELqQd4AhKrLEsa0+KrOi3cLmWfBe+43h1gwrV3So+9NMwh7eIskrqeNaLUxD9YvIGt6X
dsVPAwPjyydrb0IPTsTFYTgLjjDbHpVDYVrvTrGyV6Xvd1xdajddt0rim+GGSUOWTnWcHXtYBgvf
TVfMVW4mrVNzSV1y7DnxP8z1URCQ3+t8SJJAy38LQTKFQyXU06ludaqtfQ2RXo/4p30SdE7sl54s
WpOAZR4Lt2w8ulTEVqH0OLrwmfJOMWBkx2Xq9Ky/FB7qJSfDXxWYk0tNwDWpqmLp8eEvBkpARp4R
QAai+1wmBZNElb3DdEQXXesRiYMolVbQuT0VqxZnTuQNTmlyTw6WOB4olj0hK+gAg2VZKZgUwnSa
NDuOOhMUqKlkjgq3BfVHvDiQcRbiRVOEMk0jvYBFfNl2gq5KP4qlpv5Hv82PMU0v6o4jafAC3E+Y
aEyU5rJG0c3PId4VIvBmoZ2vDTsot+XBFIoWRkJEDKQVReqpS9Sk0QoEQQIPjzLHCAPXykMwUEp/
/fOf3GZHi78D5/u/OULT6BqmmtjXlxDW+GJ5yulqP18MmoGHVV/kpYekb6tCshKMrURX0oKU0vmg
6kBywzrPQ/4nCsEna7TxzYvNZVGWFyS33yFvuLX88q+0DctFmZXF2T3jv9rs/+/TyQhSGz9a0k0Y
9EWYbfZV8pbqh0oGvWsSCt0It6XoYLc/sefhZB3QiPB5yII+UckcjseEDxy6ZoFKshn4Gt/zoxy6
JsEx5HDWMTThAGv/ZfnRkQAB84ETUP3AILS2NSEbBr/0VID4irVRRHlyZeDyix9WEOaok6+4t04S
nGYysgdHq9plVipRw5YD9c9FDwuTpxAaatPyJA3LVNa+4ShWk6VvoSXK6U0bNsTlLK+dxu/PUeUt
bCOHeCGuPoWcFE6Ck/PAKhOnMdRxEut1ane+rLF555FQO4WR+o5vdWcdb+7iGpcOj8E4Bs/ItfvG
krjPBhfVRrJQqdUtwKOuHFaL2jF7ZDtVnvXLLO+vSW9ZC+InZ3VnUQk+9Z8U8iOgd/u7HNmnkDor
FmWXFdJvdCxTn4Isg3RSxsT1IPDnxht8sLzDGPInRisTVsFXOwqdwS8ICCnfk8w7oX617FnuyRKC
DZK03ach8C8qlp0VXnEWwDPJvA+VTAl534bxovFBu8YZufAw+eD1SQW+QZ1KqICG5KhuIP8SG1ya
Jj1OaR86Hi8+g9FiODbq/dp3rKYM/ZuKRMVfEOH71A9me1ZxfVXQSq8S3EIYv1R/dT6EcbJ4lRat
Lc3ayqXZgp9UUxDagccvAp98oqWmsg7bKwO2JrpxXA8LYg2+OwiIoPlKGCsjr99TI7izEi9fQTTR
wRAjPMvtddWtIZC6NAt7rXuar2qFVkmtfVcVbZp/EjjIbhKUFPEm9Ie7tgP7giJwWeoiZzJWAedr
haNLD+b3CaoydNxVJL8iyhNXZurp0154jinA22mZfVypPpIoQKETmKK/pNEAwYswT9sV5GE+t1m7
YGEaXNAu30Bshhyj3BelVDYPhgd1+39yDoOmeV7OPbTH2pdzW6oncg6sEMheEMinP1R0fHc9IKQB
EQtKOChU+iDMvteB4CMMQQ7o1Aq2y7ar0BPXQxwx0L4wIrQbgi0ecLD7C1wPbG1V59+qFeQcuD5Q
/gHl5AhqL8AH2pVzTS06o8jt9qpvqWZu0HhRBLUXol/4PWj0hHhn1RD7EGKOmib+hGsMjj5GPKxO
iiFEsmvsIT7XvWgHN+pINbhxW2R5KSG+bFu3nd2yVCaF8ga38lXYS79Tx52NffFNoBRXN73WWi2r
kJnewuuHQSySIm9tcL0Nzxjc0vbJUEgVt1D8MeTYhLRs7XfYTYmvBhcaeaQYLDhaLKo6xqsaxZyv
VOOb1scEG4G9ZFSdhASDYMpsszqGTHl/3NG+jr61lHdLP+IDgoRtlFYuKBZ0HMTdNnjKk6+hl9lg
5LfYkH3RN66RKFs2acikCMAqQ6kRycZS1tfG0oEchpSuKtSDVWiVvrmy+uCb3RqmTDP+LcoSEyo8
QMCxAq4VBmSOjaZWq47l7VngF/qM4wZM/DAlMqlKXybKyL4ixmJJcAWhyZQ0sVTIQLK2MLhmfYiO
uTIDCIO02RrzZJD2kPunBWThrk2weGXSYbHiRbaJ2WCtaEJ9twgac6XzKnSRzmwZ+yxyTatOrmNU
a6eEDEdaNCDBy7J1uQFlLD6nm0Ab+bGlYpgWTUJBG5ilq3KfSWQbX4vY84/tIakdLHK+CpT6xlrP
g3RAGEiWQiR80YLfCM9E2CrPU30KHcajBYF05AXwnEo/t/PTuG2csI7QAprzmNJibf9OCM9atSKH
ZEEdWBJSLLFLlcllW3uNmw0K2OT0zySLIexTRhBoUiYCzct8CQG2XlZFU8oaSppWOLHLd35fYtn5
bfWOhZD2HnpcYmfo+/hE5yRZDpBndXUDPqU2u8LtMKulTnXpel0WH+NEBU7pRenx/5mHEO8Fjwuc
gufFpgOb9++L5nUFjsDfBXTboO8D7XfhCRLS2h6vCQIQg5jaFsz8EJ7QwhhkIxSMQUtbEKA7RiJG
22gPHCHFQIJuj5H5biRCY2RwTS2I1ILYsxkc3fgC4Qm1O/+PvTNrjtvWuvYv4ikQnMBbDj23Wi3J
mm5Yki2DBEGAJDj/+m/R+ZzYTnJO5b1O5SauxGp1k8Tee61n7f718AxWiCjEz/TxG/gryfdjkxhW
wRKqwRsuciiAO8Rto8kBz517UAvokFj41adZcBoFk3ViCrSO8KohGoWf5AqPst2Jh4l3x5JN9wOZ
TnNmi6jO/TCCEwJLq1hACnSPY4UpvnL2XuFHDlqOqFn7mmk6+HXvxxOazWKRUD6MgefPwygLwmnb
Os5Xh/EuHr9pj5BXYtgmNG1Lq4kWhtFQCBa7EgRFaPKX2c/yyEh3TsNurhLS1g+u3/fokSwag0mL
nXoh8Tx2kcubIW5V9iRDO+moP8etMYlXjO9+X2IsbqoE6+Q/NyIo4sEvnn24khFYur0zMViUOD7h
vT/7OAZZUC9xNjqbnLVW5JhqR/3BSwbNdmaCXj67QwvLenqfdfZeddOF6LyJPPCIBQmLuHLLbVlO
ewaoamNPY5u0g6UjxusvHOJXMtnqudaeiJx8cJKs7z78jC43ppzfitrLjr1XAP7xaBXl3E8txew7
agKoJEBH4mI1GbWZML6P5dH2muGFhUOLxhAo5wYIU7y4QZG6WaA3cnZILEGSpCzPMYqGCzpKqsx5
JmxKSlB/G6aLOsmkNccd7uaoNWWeWgXwlpkUWaqIKY4F0XLLwrG7p96wPI7LkCeawBIujSTn2a8w
ZYxl+aLbgR6KIPCfB1NVdxCrmtvcp8We2e10asLMSYZZ6gMsW2iJluuKE0pEvRIL06lvF0mjpSLZ
+8QKi8Fis5q9ouRa6tBO83ysP5EZH/w2A6f5aomQf3WZ7NNq1dfHbu5TFNh4rihI0FWFH1Y93rRg
ASDQd/OCT31MGygXBgI+sI0wtpr+pl21/WxV+QMyTGi3IakEqweA0/bGXV2BpiKg2lafAIYBUBce
lauHoFY3wV99hcUt7USvXkOwug76mwFBi/vgN0cC3oReXYpy9StCADN7Hxg4mgi4GRaDr2FgcEyr
0wGeIplW7+Pfw/zbgbzq0X9/mP+WTvjzMb7+rR+O8XUgR2DR8dCBri7c78e4/R9surXXs/P7Cf9d
fg//Ay8P3x2E3hgbgLBI9Y9jHN/mCYQSjD2O8N86539yjLNfuUwP/iCSGQAz8R1GwHl/kbQGqmjX
WOF88fzQbIglVWpcgsm3dFjWHBkRkxc1g2dZsZep+jyO/T2pvK3HygH3PibjIifeaVLAowdBVdTD
akPhwqEwO2aDBi688TVEumlo6it1oVShFbWO1cy9rRH6OVxsEVse+awaNDHAC65VoUt0M1omVj3I
yOHBZWFyiJUGqcBrcNqFHpfIZpjN+4KrWFX0WjqW3A/V2CdV5qWAIL2dFUxT5DmZ2dtlrxg4OOXF
RV3eQTP9GMvmXg/Fqa7WsxPt3F5M1nTgoZTx0oX1hfT+KzItd2GDn5LZ5RlZ5DFxaZ+YSckkG0N4
cvhoHCrRXA1XUi6PVV9/CkVzLHLzSixnK+oKv+wy0lgBanS9GY//6J2Xmn0BC1LG6MGgYtDhCK1A
x5kcm9jqO5zJ/rQJafa5zB0TeUxvMm3SwGrOitbPoqggcDp1Fhd51aaADN6XAmBT0eIPrL4DZytj
IpyG3RqHWfPW6tWMyorXywiazQYwII5LjOXwAoJpQ8IRnkB37O1wY7fLx8JYkXrBcFQTfJGgDVhk
zJxHqjd17Faiils21ruQhzoaqftU9/LcWw5PGrdOh4kC6p4/ssBPKa27mGb8DXzs1z6AahmUnko6
d9Ebm3QSTTC9zdrZjwK/Ibta1Ne8BfkIkAPdgcXjXGo/bl04QsrX+4F2j0Loa08qEvl+PUZMis3K
QsiqjXNHbXvbv07AVjtVh5g4gPW0nUwGqxpS5uN2ZcbLoqLkXRLMC9kFUhUp2nJoMTzr0qIBoZGJ
27LigIeMf8xGBiyiMVPSecUbmRced4N+Cyanjc1kwSsBT7LLkA9Ixq4sAfC5kKlpTyJiL3UyudyN
eMfvgyzAPaUduqNVde4yPcXwTtGqTGDWiga8quO6R2mNV9/OX1TgZJGaKpZ6xj9VPt0BDOggmYWX
SaHZkBb14iC394QT9Ba1DcUXEYZIyOmiJ2vf6q6N5rH83IseBKDzXs/jrXD7KYGD84FD6gYgURW1
I7sZRo+kcJHbKDNqgIZnbp3a+SJc4DemzneOnN9HEd5MVN0XSoq48pYXCes9MpbHN8wTYlNzFNou
81+Mbq6U5ysxWn6IBY4TvPXt0o9BTKXlY7gwMgp5ca9zPuKhLmRq1eWTGvWT3eZz5A/uW0vEq/Ih
fNkdbJtaZ1AHtXPuNXsUrXW0+XBgYUVSMnmpn9eHDB0OWGQIivAYIxFaL10zbwOhT7qtZDQGZkR/
Ezx3oGUx8TnhbqiDMDHAInejjRuvMaF7oaVmVtIA6vvyb1n8VhbXKvb3ZfH7grI/F8b17/1eGAl8
ZGyiXNdGE4o7/OfCCGE8IL6P7Oc3Beh7YcRqcRRMhGVA664czPfhxsO3vnzbouUGmG/WMvsPqmKw
foHbz8oQIBaQ/mDwsD/CRvz85+GmqqWrZ0w+N5WzDJuaZLCmSPASMJ7qoH+inf+pXK7ZPGxpY6e0
Yde+458yueBMB68T124JT2U++yfBrc/OWH6qgOglttOKLYjGd78DUz+PgOgqsSNcjXHd641nt1mc
DwJoLLFfLTXU73anishBZUjxVGabJRe7sWj9Xcbbg0LkIBJO/lR5+qTm8GWxOshNrI1h6bzNogRV
47y1vv08DTON/W46dwNI8Rn8ZVI34tj3M4+8Sg9PaNZfwe4UR1XbWQqk3k9ILT6VvXwlc7Ds3Yrv
M2ghG58tu6Whr2i/b0LVxrMf3IfttoSO1IS6jTwxfurz4gX99W4k+sm0Fj8EtE5C48aVGm5sgf5V
zjfTXNyA94/hmqLYF/kXXXcXAG5N1PjjTViMTqQLunf1RjRdBJ4npvSeN+c22NRd+dLAJY7wK26N
Wfyos4dEutJEnQe1ohSUfcrcLNKeMbvBBxOMQWsL0/LkV3rc6S4Y4qzo01GLO4B6J5/oZeOChokH
KXeNll9aKx8x35k6yqFit/6SQ2Pvb2cW7oggfkQAgm9z5Xx0ReEepMLroW8wHl+iMGjfyTKjOhD/
lCOgoI14m/wsjFgfnMauuMg6vKlqN/EFBB89i9PIoUq7QRIgCxN17uQnknhDpHJAPnxBufDHwY5k
6TbwG4yJi6Kr4iKocbMVoNW7arkNu+DNq609t4pu0xuKUm/NEaXzFWq5iQO7iP3G+TxT0cRuI+6U
XYkkx5WzaueTB+2nqWSbQnxlp8ay95Lpcy2m16GaHnNj3uuGjUhazCC1fV9HWvQinlu7SkrR7Ye5
08nQlE99ge5ugeS7dibXzLhOXA7TDkqn3rTcUZCeQDuWeu9QQFkiYF9xPUDd1he3zTelT7aeLQlo
+iqqB0ajWTr3YlGv0i6OnT2e9UIhX3XqkJnuRBBNoVW/RJLUezawd2H4Psz51nfRkfnMPIxmZbWs
T4X290TpQ9+6H9r39yXhF4uoV2XkJ1je+FCX8eQ67dHp9bkfytVtma6yGrZTVpzc3k/UMu7qUO/t
1t14s7treH7gLoE0OzvHWo7H0ZBbpFPkpl/AxcNTGgMMeMZdNkgKXdAhISmxBIc2pHegoI5lMezc
cu7xDqt+LwZ6cUl7Rmt7UfXw2RRzgEme3httnrhqjtkkzn3uJjmf7xSRBL15/lRKhIzG4omXwdbj
elf5BdvPntr6w4gRPujOjoJQgOzZ1RV8D8rnWllDFnHSxHnf7oeQPJNplDHYb5mEtL8bcw8z8sAB
NaMnUUv1jLjALgCqUs9dQtGtxD1TZ0f6rwuDNmCNaReOG1kML6rtd8YjXxfDMRAUNF1M9lzgW7gg
/yzIltzRoptjyUZJIQd4OPsmxzlYbrWkrS+PIe9Pbljup67vIgtDMLJJF3eQxwxwcCQ0P4+ZW6Wg
+9+HomOR1cobi4TbRoc3LZht4PXTpmoIABvPfizs/gQd6skprRs7E/fLegkd5r3X9oSnkacOHdFL
WE8TGS4OOBBSTkmOIEnazuMbtWBvFjUv8JzACexwLVrb26ieF9uGVa+145znsOqirmh3pRbbUoGy
Nb79iK8RPDRglvNcJJ6xrgiU2DF1HwLep0WxvAsZ3C9ex08KuB3at+yurtTZUiSLskam7uK92rW/
DWgWuc7o7UTnuymgd7orJxfPMv8o505EgdIEA8N8Au4FCsauvQ0pnG3QgJjBTVHHFAxK5HOyM1X/
bMbivlHLae75Q9aanbLgX04je1RjscV7fuCzfOqafADgf1uC6BNkiKnwoSJX09Zz9WXs+ENBFpMw
f9hZctl2C9u3xr8u0t61PMRHY1+sBpx+PszXoaf3CPaxlIArTFg7ltFgj9fa8c9Got6n0lhUpogP
FY9eVXQ4/P3gSFWG1hlD3iZvfGjwSwAIbMDTuZwgmqE5bPGW5rlG0gH9HVfhLas8FlXdoNLFKpqI
wgGFYwt9Zeir94Hj4/SV2KDCeFHOHDupqYwBRcfetxQWmvcJAalID+FwQOdcRY01f1Wt2Xt4iqNy
VmXsiNaO/GJCIy7l06A5TcjstwnSr5DcEJ6xogoiZ9xW/DTaXX1Rjd09CzuAKOQtrbXp2ehdzaiW
g2RL7USjdFkBE8W103pcZAJ6/TQ67QF0yy1l5cadRBpQTJFNdseb9tg3CDJB4kH/zGB72s1zNqLf
DfiYtuBEo6Gctr2bwRvouvdBwIYo2YubOedhnFFkiqTqh00HXKdwzENN4JWzIH/DyfpInHaXjfmF
eNNHJpxjteBjCnNYI4WjoRY5z/XiHeGgnrNCOrGPiJyQ5QZho8PQo0S3c88Sv80ugngJqP67Dosz
YHks+5r7J28qdhgkI17W+yocI0+TEnFg6Ki+cK7hWN0DK4LSOc9JpdSDkqOKK6s8kmLcE2KdQTjE
aIW2dGr2CONurTLf86A58rp78l3nKJWN2BEqrcM2Jas/ZwL2W8mvU4ZOYfbqdMnytDVF7DXdR5WH
J0up2OCmm6b+2Ifys+8QHiHLvdekuGupSKEgxqEr5sip/F0+kXuzCsUdOLYYWeZoDmCAt+MmG3gS
ZgI2FKSSTti7qqfPA3NjKZCy9iyE8AKonBnuR4xLDU738lkij8JtD4m0lqZh2UMB4HJv1eIRLs/W
YcstQVowKjv7YR7tjSPqJw1FKHEqutpkxZes1UM8IXuTdrlzg4ntJuPO60Q6Py1EvYqwWxEW+xCy
8IbzDCTi8lHP3k1X23jHo0QkjuJm4Xr04pEFGIjm2k6z2WcXbeuDcvtUSwZRviNX6Von2U1LbHFn
Y6AaRpmX21BsSbXLZ//FG8V8H+KkSUo5naaJ9YmF+W3ylmtt+S+UimxTF80zgS8Ai6zflGaQsTJ4
1ywDfrwePQ3id4MO8x1vMVF6dXmugZeV3FouFm2Ptc0bpGMwdDdt9XWwJ3hzc6MSF3+ayzmxh+ae
FxMCq0u1HwMqornrgTutVdtznycbD5ogjCftFCLOMYNgLIubEvkcV7j5PsgXc6qz1kdGwnkCBoLg
bptdQyNfSFG7u/Vx9x24kaFCNS/bwXlheXevavdqj1NxCh0F8aTe85o8UI6ORnskKsZ+y4lOSFWe
Gk62fQCKjXvV155pibOcptxhD2WnD0UnjuXgo88c4bnR7hle3F04AZBWdXAjbH5TBWIjA3eG+iIe
Gxm+uJNzB+JQHz1HqLTnvt7Qzn1ZqnAfGtuKBSnUVg34wVZjb7RddAmy3sNOSIjdRtWojtytiHOP
UD7FGNG2lpsyObtUxKXjWym1i2wR8Q8T3+1vJvqPoYBVNvzDWl+ptdUUAtSLGh/CzP9lgKIFIROl
qriIuo6UOhuQ7qF7/99f5Gf//vuLAMRFoNyBFbVOcT8wvWU2tY5lTHEh895SZwL72XIfuvHhv78M
JtE/vxdEGzxsrnCx8GD9NX54mYyQEFMAQeNOv476k+X8r9j2n39+QF2bUEAI+Lh+/axMOPta+5W8
qBE32o5lcA5/n77/4lr8xe8fMPBm2Gvqg7R2Vgn4h9+fBypbHK+pLgxzh3frhaf//vN/Dp3//8vw
w+fzy7V2/dLOLRylwHS2VhWX9qYNEkhh04cUyT9+qdVwBPyB7Dtwt18uhWScLOOiywsRu76NoUTV
sNHdGGXYqn8DexBB+utcy59hz2/7nX+/LOst/sPHRuwCgWlfSlBUcQiTD3NXl+BMnYfNP39TP17/
X96UCkSoe/bbCzlFovJoyjeoI2sprv/HvfYXzyXWo8IjZqiOq1H885tyPEU1Cq+6GCRb5dswpV72
+b+/nb+63X54iV9vt8V46JU8oi6KvYnsxbX+D7czthu42MEAj8T7pt38cF1EI73Otai6CJyAThDJ
+f9weGG9B7glqD+gIBGP+unKK0uhv/dtfVmCtzG46QEDku5/nF1/8dDgocT3piGItbKev9rnOVh9
rC+oLi0avzlmTWR7V1i+uk4W53/cyX/xWgwBMNg8AYNp9Os5CbYPIpvw1CVfZ+q00HE+p0ETafRY
d98u/r80HMEF+v3Q/TP1W7190e2fBc/1b/0geALtRUIAZzG+dn719H5wAoECuz7A219CfHD74JU5
KAvfmI0flyJhAb0NJAgLXX7DQIJ/InmCOsZN/UfFBgy30hyAqpARwqIlb92f+uNxp2tvKb05Mxci
nQdEPO6p8Y6Va67lVItoHFxIHgSbNWx3J+ZZJFVZZuiI/THupj6LSFPDlZrhvyFrf0fcZYnzOrCj
0e2g/S/2tSMNNuqE+Fkq0IDrRG3vQw6UCc7UfRsoES1Ks8jW09lqiAY6JuoYIIAVW5OXJUEHXksO
1IrabmxuiKoe8PUa3jkYFnUSFPq+9uHL8wzzPZXB1jUI4DFQTbGf55A0WvWQK4Z0noX0C8Gg12Bu
zljHU1MikB+41QfWtjxi5YUVSerttGPdW0sJvq4x52VNty8ef4dkLKLG68F96DFV7V7YJ5s7X4b8
rXXiLuQ7rTOejJiCo2bpMazPpUyUnMqELqZO61m8oX7V0dS1X/puPGBuHKOQ4A21Q7Y3LbudkaqJ
ZpVay6nv7MPksldP+BhVhBuFs0cSBJ1OLW9viwrGpDswLK+a7AvCMBLaTp/asCnjzgkghnJu9sGK
hiE8c0f56F5DK/8MN+dqFEOOXToyLuzc3tBGo1cMBswfPsDuOtNdKstWJFk5ov0n7ASkbT/3SDhA
YE0EU3dTaQDgLr2dNg427zCDOKcfYiUKesEm5U033POOOHFmh0/c0gJqbr1tiDiYMnhww+XNtrja
VnMZdYCAxZCHiaZ5GdVYhRHVbg31eFg16+bg2HgvS9tsQ6dCy5rZitzWbqfu4U/jhVsDuQ5Htdt+
hi0MTXCwbnGDv4W60FEruDrkpf3cNsO5xSqPxGIudlONzsc09h9DMM8b0001jCCW7bBd473CIxpp
/CpxicznBq39vUe5OVaMHAYhXuolPC6NjTSjzrd6tE4NZInIEEY2HUfGR5fZiIHJ3HRiweMzPOQ8
e2/ygO2Ug30mwqru0Y2hxNP+qXGCfdl0fMc8jAYzZgUN1GXDjNr73PvU5iQ/DN0KK4rlHj9zPMGI
xzAYag2g1G/jb6ssBihgGztcL97kzDHxMz+xM/fJaNHGwwKOyRilDob2ExSQIMAAiAFVGtnFy2T0
MyfAGFWet7fC98JodJpkUrO9YX31iAyQgIeZY3uAsCNDdYELVKs0k6LHJoOywNPe0b0pdA5R2M+T
lvZ7sjCybxiGLTuTWx+/CzR9Z45wLHYRQwLeiG6JdIN4WNfshOUnQi8dfMMOSV1p2XjS3C7Gposp
mt08AIaK4I9rY1cJ/sVyvVsBzkub4ZM9iaPX9gftILLktvdDgHjcYqot8NkyUlW2RKq0b4aphwbs
KXQK+W3l9teSj4+snM6mWp5NBtapxKa1qNLiEduIDu5EdgBzHzr0oVHTK9i5WjtRiIm3BBUZkFZv
qpkZRH+mc9Y611KhqE6jDfGmPtC+V9Fs+q+ul70W3L5g5dMNNlTdggmD1z+Y9yzzIAKUy7PMwdq7
DWMp1nG8mipATH+Gk9vR+kHn7nGFk9NB4q6BCjKXj04vvF0BXcvZ4pu/aJprLNPxCv1bj/1vCV+/
YufvS/hWfij1FxX8Z5aH4SuZUB/X0Ly9FuPfKzhFOgfYOgOX6VG4k39EacP/4JuOAZdjHMaukG9G
53fXEpgPw87MdXHmOigjaPMPXEvb/7nzRglHP4lGb12djKTr+uN+KuFY1hHQqWfhhVbtHAkPFAJQ
SM3V1bFUTlMvxzKI19Ch7RUopfIP1VCoeBnCky/CU6vCMgaw8l42+jA32GdEO76ZXRfPdu1AI40h
uu3V5DRpP4TXko1f13USIERw2PZ0awU05qZIuNdsCa+3TDk3U23trEK+ey3Cq6svz8V4LeH+RH7X
JhxGZkAQzhCijpx2jItQg4gQM3yg8IYuJCkoEE34EjBWyLybbTTIyrLfBbj3CWfhvmXBc+0Ge6hz
n5F9PbMQG1LSDO/tJUT5ApeAiuLpj3ZmkKyg3AkQnlFJdHNZLGszIQcf08HeNZ2GcAbGaOyIgL1i
tWldBWqPOQrvFrhqYvTyVJnhjDV9WDwmDAWW77YpLRzshqFb4fR805YO4jAtD1Ix2m+sbI+lKQdw
MQHCoLp/qabsFeTpfa70BctSoO+BVdpUBtknRdR+BNgYhYWZsFiu8hIyukOkK6a3QNedpMdaqRiL
3061mK+VB3ibA5XPqfgyVwOLCMMmOiz+emTStYFXzG+K9qhEtv21o9bBHvo9CMaTaJFcykLYCAO2
P+3CsR/BSmBd4+xaVjT53Wkp5UdlqfEZ1/PYea9LhX0oiF/BGr2VjTigvtyPOMFjSPtIZNp22OQn
jGP9kiqwNTzCGhWd+xHI/bC5mbgX7KVhLvCxId8WgE0mYPRNeKaBlR+QJYaFDj96j8+lJqkLEW6L
eSW8z7BoIARDZk8qavTi7wYYb9u69VyZyH7iW3vWgE0C1dJTIGX/xLTPdujYyPO/Ew35BpvjePj7
4xAbwrqPvzgO8Zd+H2hsZBV9H4s9V+Sc+j8ONBT/aT0n8Q+CsgjqfN8s4JL/YJaBOBj+Aa//cRyu
G0WxSwRDPZTD0P0nx+E3TOSXiWbVinAiOpitXKyd/Pk4HOrJYFVb7lzM5BL0OsN+nN0msYXjIAnW
bEBk9Zgm5ieYLk5iuPu5ddipQ6lNvHUbk5iw+aJr82M3ahLhCT1bgrQRvJw+mcxwM7W+Sdyw1bHW
/fscqpe84ClWhN2VrtiquTsgAHXX1Bh5RAOzN6ypwQNJT6rCsjNuBZ9MGepYQmzAnqTsE7D5Jw9L
4NB+LvD8p+ricedij34a4kQOZLMvvcXZLwNCwH1JWTzk0xYLY5GLr79iNcpdP3LvoDgSKHP7zpA3
Cs3yOGGZSlRSZGscLFwDfFmpZIUHyQRuKqjzx9HuX8tpcGMEe3a01yqqQYJHVe4ggY/2E2aoc1NW
zQEAAkwspFyaAabAZGk0kJJdiqrFoMabi/CG+jBVHZYbFRiCggoYZ5m3PA7hdd4YXxMQBz1wjcZd
voJ6LG8GN/i8FPhwYQHkV4rVSVFu2g9YEeFZaLn3Qgs9Ea1nsBaGXUwxIUQUjLhqsMOjFnBdXFYT
HGIO0Qwdqr8FMc/hFmLzlDsF/Eq4Y2+XGhGZBsAZZkqHR1iUqKOiQiSIzFLsHGcCiQbPeivydQXq
goWe/oSFW+j6sLcrsxN7mpFkdE2xgeWfbdzRkWlbdVhZoJ0qVY44weo8Lp24lMredzNfkqJiXyGq
+5EIKje1TOEkcz+L1M6CeQtMW6ZE5AwfhA0hpm3CbSdAfYup7bchhYVc8RY7TbEw7g5pR7btay9P
sdQBrBDJsmRYs0jGcayrhOYbVQveaTP58DQQndswbnWxmEcWzZrXqYU1dNgrVRYH0DDjltP8Yabm
tu+JSnOLzZHu6nctYREVuY/Vh0hCHeoQnSlHzgrUwvoRFVS9jsYTnxR27kUmD9Vu7rGnmE5cR+gk
7IuHIEKU1wv4SnzuKOZWv2MjSlw+utAEgr74gu0SyE2JIEsHXlk70olN78m1WGPowPatqAJQFIH7
qiLMaKD3xciStq5k7AOJui72dBVTf+evaShDBYgWSeUNtnZ2Oyx2+9qp5R0cUL6B8dVHMpTtucCS
rthZcZq28ff+PGYn3wqGLcuUe0et/hH9RmclpOunbJvTCQxh0defR/xWoBZQJ3MhI8PyZmsV84Nt
wZ+bEJeIyRAewBz72FIw21GI0oqcKxBb7HnFkkqeFkpZgBvIrnCcT8NaK7Gj6KFC8QyEugWVGFtW
cDbea4YS22t/eIZK8DGi+E5rFVZrPWZrZe6/1ei1Whdr3eYlOVG8Wl7nx2FwvzZYaBjbizyTkdjR
EAaPy9oFFGJhUWeqLybAklrssNxrtAzY+31C6gMLVNduQq19RVnYWNo35IiLzBrO+dp/tPjf1dqR
BMbxNvPapdiwDnqL30u0LwRtDBounIKkHsDztscCrc5Uwtg3a/czGM03dm9jT5KDJb7okIa1VwrW
rkmifTJsfOoB/SWB5d6GU8DQ4aDPQm4J/+fae/VrF1ajHUMkbofdZyoesKZErB1bsfZuYu3irClM
uqn9MGt/5w1FgvWj/gs6hspLNdpAMO2fNdpC1XvP6FG9fYGGUbTLOxa1Yh2pnnZ403KTr91lZS+J
9IObHG1nvvafFI1oGSJMM2h7ZzX+bh6bRKw9q1WMVyweP0lqIGygre3AgwVoc220u5bbbDnWkOKa
xpO08WfvLWdFEZui/2qKAM3T2KVwvfdd5eZpDybYcssrVkdaqAV9LJ35mHfyWoVWYhf5g8Qu7NxX
4G+kSvqqeJBFF2NvHzrgzARRhc01GVbjFivAg5bRhDSG6PeRrbA36hi4b8OoYZCJShlzX92RFRD/
tzf61hut6ujf90bnt7aotYFv8WuAb/1739sjbFfCQnHMgvgqOmi76/T5+7SI70IIPSBHyF5g+zdM
mu9867elbQB3fhCJv3dHAXLROONDyv4fe+exHLmRdtFXmReAAjYBbMsbVhW92yDIbjYS3tun/0+y
R1K3zPyhvRYTmgiJLLKIyvzMvefSQ6JyFf+oOjJUM/jTvJfFHagYlg8WlCdSTH+ujtBTJ6Y7m/KS
6bMdnKRJrT8auvT2Tp3n4XWhDc5h7irxKiSY452v5VWyGEZteAGD2Dz60i7ufD9yZoDh3VBsrNxt
nxqrMwJonKmLQDuGMBBpj6NpxVgkZnQSppkgTxLXnodan+FI14v7MJ3ehnB+w0TI2TXeisYDg4sY
0Eyz6GJOjENB/cDnDeiBaoDQMeqmBilPWPfNMtSnt6SqsTUM9YDzLGwWjcEhOGEZAZHrbdIcUZCW
c9I4HYzMsK5B6ge7MhO3du/cZoi0VglA7ikYz7NXo/DojTd4KHelZb5KL0YkFKD9yHOupNCc560X
+RyifYGi0nZuY+Fe9V7zbGYJCsY8vcpqzi6ZdIsqML2V3TADtxnXLmB7estyTm7xwTxQAZUnCxg+
Q2/atdrLR05eYJv0fDRtoO8Y4Y5EAORhepVjBJ7d8tkSmA8bQy9XnV5/zE09Ab+lePGabpc28VZH
1W4krP9dNAST5i9tu0V4YZqbrqBSkggu+aGMYRn2HoOknP9nMxtb5H7xmMvkq+snN54tV16ZfoFE
fy8KhZtrY/sqcIJ9VGo3UanGAo4rl0EG3CLsxFWo5M5Fat9KIe4RaTAudNyvosiPM4iscoLKk+ge
M/Ccy6Xs1SA4HI9AfVjeDnjginybRtq4MJUYmPt70VX5YyyadCVQN2JtjNaiRIDhsGjQBgwBUvc2
duX2586j+HCnxmsXtb1vE8G4UoE/6qS7mfteYP2R53zGl1lpOu7TqXsAGvEe4HrYCYlrwbH1DcOL
J/hnz24QLs3aeEuzkMW1+jH0/labvE0VzJc0iRh2mhs/uOZhLc52312lfnKNnPU1Yui9yZOZpffI
WBUVY7vXy+nYCh47w4mvChO7DSUydjzvCTi5toDBGi0NuoulVkcbpClnp8wull8fwQ5d9w27wLav
+0Xo2hvNql6pCVbSMR8yaouFKNxD2YvLpBTSeCWOmh9swr4q8D01917svgttPNWi+4DadN+07h5q
41XcJxhGpAsHBaY+s2v+Dni6v8IG4SM2h+hNx7RDOCIu/PIIqgf5XNXYRw09u5iBcV059qbyk3dN
C5Ze4UOMlQn1tJVdt7gzrnJLHt2szZ/w79bMWZGeoLBNj1raga5WOuYAsf/SzQBjBSjW2im9MZCI
plrBnpuB1EL69s735qs0b0+dkSzTzn6BnfvWWtBoHV50MG9iNG1p4FP/tJcm1bdkDewsqLKbKMCC
xORukdto86YEuZBJi4XvDj2YPMAat46RUbP3GBNIIiOyIg6InDrbtOaVD/l5Z8TeE8k57FAKGLeL
KoobEJR6u80afvowL5DMj7apOMoHjcr8LPlggdOPnEuO8I0qpOaP07rj01zl4S1zl/QY27GzbXkL
1kOqpTsDcdiiLA2X2roJWKb1opW7VrNgKZiSl55K3dhoMbPrf6/p7yMMFD9/f00TVfPWf9RvzZ/v
aYVc+vWeJpiIyF/0SmgHeQhtVrY/3NO+77B6/TRhfg5Uf72oCSBV0aO6YBDMDf8jjYmAWTVx0LGw
qIgb/Z9d1NbP23umup6lZiW8kk6uAIb7ny/qPPTo93qvuOh6Gu5K2nsZAgOqreHYuf20HDqzuRo7
s9ha+sxqYOyu89imk82z9xr+HTa1Zsfqw1n7Vj0tw0GgkLNltaSHnllIDSbaP08DICZm5Hxjdl2F
/pNEwrrsMdIvR30+wiS/YvS246NPZ6zJbTWVTwEH8HKuvNNcT3B8iqTfwdQ9hFlcLRKb4sGLlDjH
PTEYfwgdDNNt5KH/dJNVXkcshOs3E1gZ6Ofwsc+ccjFgXQSKjzsj6eeTyN2nMYCdjvjr2U+LJzH2
Rz8xrgY3vdccnHTYEJlCyoe8DugJDOIOguHozvYtl/UGgfeLGY1LpqQbds8uyKryqnSLZxNbjyW5
qKQzbvuRvRAPxVubstHJR9ghmosXEMfHAi5turLqUZAHUE1rapZu3ff9pE7OSz2MOLRDa1dIhJos
E8+DgjOG82BscelvYlGxI+1ROCYg8DRzvrYC8cVsy/ukmzaDRz9khfn1aIvNJDMoLSjKA7e5Fp37
IKsAXok9PYsIelQ0OOWKYRtnYh5RZkVTs8ohirT1fFOPuYsWOT2MRvohZ4yhXms+cLsZoMLNYCkK
/xL3rnlOA3c3euFddUYEKVhME7NxFBOcBqCKm8ilErErsNjtHK9bq+23dec9c6XD36pysCxFtAX9
lS+SrPiSuKJYxS0AJsxPm9QDeq0z92qnXTRBiQXU917X1gc8zg8GZ+EurOyzAobjAA4JeemzdTyl
9qPlJGQjTPg83CCCm1EdMkfsU8eAwi83tRey1SSgYT2No7k0QzFtvU6honKna9dDr6qR4as/J0O9
dHT8JDor4rmym4XL0tjWKhPoIDZVoVaTJqTN3HOpx2xvZ6rNc1GPb0QHoGxHitxka10BhXl0lf3g
qbB6aynVDpsJTYXvIBzXidsBLAaPTcfN1rtNGetZTnrrIwoWZmAtCLjZ5764CvrGWGRqe56GMZ8L
F4KAh9phY6ktO6pJfaOpzbsOg/w4sYwHpvjFUtv5ljU9XBvAQgRC7EsckwvZDtQ9M8tWm/Uw6rdL
UfBJidXuHwrxdYAYQGa6viqVPkAgFEhz8doiHGiKm8i2saigKfC8LNiPojiPOMkWPboD3yy+Yshk
8Y0iIbOzcu2yq1hpo5asSiVcGBwl16iccCVnbcteOZ5fTaV0qK/iGHDMgIwI7GMV8Bj0WfAGvahf
mFN1CpRoIkc9MSKnzVEGMlKSj1qYfCB+NhdmXvBso71ofDhxSozBPgpqQ5reEyzzzVeKjXDkubOU
iKPIw7U9zhW8UjbEfVjlrBpG52Qg/9DwQZ9xtmkqSgXlvD8Hq1HpRbogKGgO0JDIoT/1dYKBWelL
Uj+6kzVPs2OHxh71sUQ9zV+c+AZCkKb5Br8pewtFqGyyfsb1ot1aVd0xiOODJWcYmlpPGQr3ONhg
eopXRdXaO6gXTE/lISHtBLpDdZPZaNQR0OiBfh+o/axh9odAbWyteR6jRVPUdQzDxKifE99phrUA
SBQvm0458npAyW2P+hvpQZCDzY4a4BuhtL+LNv/d8upsRf9HTQD44q8ad/VVvxUExJL6cFwt2/z0
mf685kUbpdOyo5D6BKf/1rn7v7AY5l+honJY+P5I3oHciIyQRgim8j8n76jS4ufO3QXlzKL5k87s
oRn7uSAAshoSvRHYl2Qu3Wk/iyKz3ntptcGFWAcLj7lGjBA6YjVi6uTdpIzoibBLro0OxEIgIrwo
VbLu/NZeNU6m73R2eStvxNje4XA3lNWdWeHbXKHDzyzZrPD7HOmNMMbjkI+VU15Z5ktlnqf7hcqr
DPWRz0IEMmMAagG7/aCM91JZ8KVoj6go/YXhRk89Lv0It75Qtv1iXOX9vI0qIJO9MvYnOPxn9Bmg
sfYcgJhXFATAVDgAX4EBIggBflzfCAEyoGMIizDDvIZfQAegwAKEqOQrM0gL8ouqbxb0AXzwLf4S
l6bjg0vbWU1Ote41gAUp9qvRtJ/KPETCo6AGdkNqFZVVuUxKugCroNDC61YvjX48WnMUr00ICZ0X
0FL3RwNyggFBoYGk0FjNuoaswGC6p8nCm4l34KNlKpcM6FDomFgy4dLFPusMQI3DgJ7HxdfPZM9T
I740LXcZM7+xiO9TZoBtm9+UtX6UzAZZs5P94WQ3PX/STo0P9TGq822rGd7GE+XBcLL3vJHIudzg
ivH0FUk8OYAjteSnWK1vjJHVxWtcp6G5bj4lAdrcTuU2MxgXhjpbU4DxAB1En3wxHYs5N9OUyOy+
wEfauKYf4h3hX0fd8MGV2Cxj6ECLDHNnO8mznQfemspx2lSt/DZozChjb3phJHbfzuON0RuvVl0e
cNm+RH3sL4XTWGs3tL9G5ngY9HB6TSWzJQzIJKThd/JU9+voaIOc+oaYkh1dunbVudX9FPFrQfmn
Iwu9SzAyJ4HoiNbGWXUSL5mTCH/diknfze43Iy5sQnfax74lcQXHrblKSQBKQvjBjhYR6EU0Wmk4
qxpK0VIr5JcwqWY6z2neeAPqw3gKt6bWvIDa3hV8bKB4MKchAYlRf6OYfgiDDdJFxsGmQa216ynQ
nutWP4gSx1lsxg9OIEPyk6BYNwECKALZyAvZpW7iLgV2kJzTf4ESGDSUh09NJN8aiV00s9/6hl1F
ivgqmeIzkrRjCciJ5t8/5kMKctmy+mWMcqmWsObith+21UjMCBYhY2H66VuOFWzG0Zilzl5vwhcr
scq7WROUt9IjhM10Hti/343oKeF/PFfSjval9PfziN009MojxJFnwVqE8eWdhmlWWt5F85sbqYuP
0p7PWabcjzybswB8VBp5tyLJ7bbvWSsQfhN20baOpb9ORj9f8OkRr03f7JErdLeBh78Gg9SG1d1R
YB37dyr9HQ+noPV/f7Xd/TcT+8/drvq6Hy43VuHwhhzG0iZ6oR+6XQtCnK8jcVJjYeRMv42lVTYr
g2dHF7/Htv53LM0+X6W1Im+y0SFzJ/0jGTKzjj9ebjaRAnTOOkopAt7/qGFieNx0SS2K67HW3U3e
2wOpHwhhQNrupMvUrp8URYeN14VfQj8SXIUyUGAvxLSuF88RY7ATIbNsRCyruos7Ye8cApnOQxKU
X0tK7K0Lse5Kpi7OXrXjXJa+xiwtM7TxumGve6nIvHvRdNFujAA195IdMGbNPMg5Okr/q6fJW7Lm
nEtoGNoB5MlAABCwO7I0nZcUWvfdYDokZTUSdWencKBup9HLOFOBhE8HZmA15kcBevLZ0dN8FzqN
v4JR1rz1FBAEfoDfcWuuFjceMIHKvrwZcH6lHc7+MArLVT8Ydn+RGi6vLwWbRfto4PCZxk1bJN3W
mNtO+7BDP5ZnvKwclaQH5fXFVQkrbmiM8k5CSlmwYGyA4bXW7A5nj30XVIPQlqMNngGfIGrJvhy0
FeLXNDoKLWd2FXUAYXCrV6D4B3/jV8H4IobUekOzDE1YG0W+CVkiH6ZOTHeoJuY30uEcpJj4wY7h
ADgURaS/Dco+fOdJipZ6Ps9vQSPnD4y2z7VWbfIwOmguCQOZIZBjOXW5I8UoNMhX61idT552DA2E
TEkxliun9ZNxMWYF6XvREEabJmstepqetqJMqicodekeVN+DlVQS/Gk1MT5m6ux4dbsTcSPuPFlm
+1Zr/YdSr8R59Csd3KgacLIPKe4JTyCMCA3mu+YO2sFKW4bYCDNiz9BWddszQNC0ZmS+V1XtClxA
+c3VimY/lUF+S8QXfmJ9Fq/hbLir2XfjBwYa8ZXLYPDUaFX8gh6gQOSOmbtJ5uJl7kbtyMMLcdDN
h0sc1sEzHpHhIefmXrO3jO40vI/Xsk8R/2J+Ya5u2z0rjwZTMVerbNfN6DQo6ya4OyFT853Zmx++
YNKeWgd3HKwbPMxYMPVCGB9lUc6bKoIj5JeNmvpyC/07evw+ekRN9Pdn8eoj/c8ZGOLHnw9jxoG/
H8bWL+AgGSKiJf3MdvrhMLZ/McEK0oT8inT/tdP4PIw5pXUwOIStc07+hsGxoSp7eDhgfApLLRf/
kaCUW+KnPgM2HbNPn2OYTCdO9z8MHtugi5t0zs3rnIW5nkRXbogrvp/WP7wz199Xjj9aRc3PhuX3
VSS/CfeHcrEwZyUD2fnjhJN01AT9SDJcOw7VVBvqnr125u6QRaSVFWaYkAzpshVvi4s/dVdVUj64
Zk12INL95UDG6DqpjeTY146/gq5IUPDUIq50SoWjr5+HpiyXmScpuJXwSTbpXckLLs0yvca2SHni
AtnxKhNeAZl6fPYyJarxjlU2Ln0kX8vcaFgT8GGyrCTfBKLfgJVuVx1A+FXDCVS69pPmuTjXO3/B
r/nMwVssmS3eMdu41bLxrGk4siMdV/SAkIBs7T1pe+chyEgE4Xyi5Eo5fvt+ZaqCruvbG0L7NoPd
Pfle/WGG7muYTSxeGUQknUu3MEXXTh0chZtFG4IBdsIP6m0ja/5Cdf1QiHAXeXa4TKU8IrR7hxWU
bPqM3aHoufJSdXpqBEksAB1BM2jnVyPLFNczvtgeyM4pJY6ztFaVSF4713iom/BUjFm3KIzp1q26
LZzZHUM9tllMz/hBLfALhCEvpencaROpNVlbeUvXf/VbhmtktHQVxJ6ms5MFDwQsCcvl7wc9w+2+
eRNjTl04J7DQlKs5CrWKps8gicQciHOc6DIHabArM9Jr0hPjjWVx6Wb2CcN7CP3H3vo9761UN4wm
nB66kf8KnHaHlu+2yOdpZc3NI5veGYUyCyqrTe+aodsTntOvakv/opMyvwiH6TGNImc7WvPFHPFd
NDLuCf2rvxqp+dUEXrJMRmNXpP4eY5ZBZzdskfLdZMQiA7MWV64150uR5l/muHyWbiOXmSju6ani
FSvLZDd01hb92tK0gg1KHTL9eMTwgtiDXHMxV285rJN6M3satBRHjMiG9RFYDIkpNSmS9oARXneH
jeENSpZTj4c0dTAiTMZSDxhp2dbXQff3QFA2/cyEk+T1sn9MHEuJhwZDZ00VqVZpNCLIPebeYkRn
oMNr1fzWq96YDNwaifZBscfWlGq/4GlELtZD6m1ajCfDqhjYJCJPRvg29FdeTaONBZvvm6DUafpI
haYNLyJ2m/UYlqcw0gNcrCPTCBWiifc+Ju2gbXbD0D6TEc30zY+XfayTNVqcEsFH1sqTa/oTgHja
fk7R+clQyvU8Tigy4SGIgeTneGAvP3bGLam227FoPxJmBiSjIJ4S5fNQr3GH7aWNALvVdjCq3lB6
v84OGVPwsRtMkK+pfdcPDTK27lAWIMdhHcTwrMwNs1R2kVRpZFkPLBh7k6wcQ9L7zmW/tdy43egG
Qsqwt1/V7h6WxbAKNGQF9lBuOyO/TAUSiSJGUDfZj22reyeY53Z1r8C5oWfXwa4wM4zE/88x+rOB
T52iXBdKZ0LRzPQKvvNP6v+maSwbrMN0PZDGs7C3wWG8K077GKLOW/5UrpM9oqVFcKSv7Vbx1tr/
79dXatqfD3Fe3ne5d1C1Oki4fn75OuicXhPdfN27b2Ww9yl0/fFVK/6/KK+/eh1TN5AX49C1GbT9
/Dp+y50VEWZ6bVDEj80iTT/8cE8x+71y+Vv798+33/e3k/eTOxBrhotj7OfXqVgeOJ0h9WvhHGuB
CZxxsv30v98z+6/+Zj/+Mn94kU7qemMSsnHdb5pHLGfrfqd/9VBgLIpTxjO2uIXTucg25u7h7K3S
xbk/RZvHZh2sb+LDsNiBLr1qV/yHq2LD/9aP//vnM//ggf98pmxTR8TtgA9wPpNifvBapwSyMyDS
jWv0yufgBvLiyXgKD2SYM2ZfTYvDi7Edl+dqM+wcZ5kdGZndIOTcEIyy/PxR/p1XW7znf19I3r3l
/zkUb1UX/YU3SX3pb309fTjWXRbY5udomH/12xYbkrwnYPsygP6vEO33LbZFNYtGjQ8UY70fszbI
CPWI/vn8ZmQL/SOg4neL+e+ng1pis2NHgk9uB0t2ir2fP02I9NlYEeZ8mVihGOXCJL8HxhhYXLaR
Mr9EtjhF0pVn4dTbYBbOTTWBSJ1D/dYK7Nuk7j6IBasW4yjhpfVH6XLFWd1VgghD6yEs5QaQeYM8
OTVTtcGml9YVtzr44C47m7a3CUL3qpEkU07ajYjlgzvlT87YLrmYPjybfbrhIVzJadmLldQ0xBzS
2lOWPtJKodTUb9Donju4foDTzuyoOd7EeAUPceuwbR2i8MEBQQVJHZtyPbzDrj8FfrJpa+vVCtNt
37aHPBCb1vKPvV2dAynPfgHmF1lcKMtzB8nGKuAbjuaTazs7aRhnH0+thrc1Jhan0GjwOn9VUYlK
vX/BJ3QtZXeiaFkCjd+isl5DZgPuyknvf2tAza0zqEGw3jrinL034iHQh9tPcdzvNSYOBHfcynDe
ajFe7pIEjbImj4TLMRijCxquXeKC/IvFA8HMu3lqbjOvfc9NSlkvP8uguupFtvus0utpR6YyswWa
37g8E7cCgcknA8m+dSXqPU8rd0Qf5bSgw4nqlaD2qTpWQfJmFfatX4qlJM90kXYuMuP2KjSz1UxU
UU0tBWTrNvZHUuODRzubHhjdrgXisUUFrCpQWDQZ6BW6ouoUeemwEUMFuW/qglURiTe3B3BYViNJ
IA4UprF8AkksUeKN73TG+MPrGhre+nuAS9B4dbyL/Vzu288FHRZ2lnXxp98Sj2208RFLrfqRnh7a
ybaoulQFzt0mCOgPuUCC2FRQsIzUsE4QkXpI9JjF0xEbsk8O+iqw5vjWNMxtYtJww4HbxfQV0IR8
DKARpWmOunDJINVdxCUe6hb29rJzB3sHbBKoMiOVyCamsfUlQGoLc/LcteWyKFnUDmHzwExDXyeC
LXWcmjeRN0GSIOiFEfQCG8W9Bk+6wADvTfZlNp2NXSdkNybDSgWQsCn4iGb75MXtk0YqY3yquxZq
8kRCe1UiobMEsvasuDGL7HHo2mhV9kTNBQ6Eu1kCO41L+z2kAcBar2DTTQUm2/bP5I2AMBvjr77W
ITC3u2zZ9+Q74l75YJb2mk/mA03fBz8/UsOC5OxpshBdlJTjMiPYxsljpu0JdLi+NHZlWq8sL7r0
Mjt42fBojxNgaf0Q+94Bm2K0GTVQe6F8JFByTRxldZ6CodpkPbIOs9PEqUgDEDtYFUI/adbmp6/O
Rp1KTOHzEM+8y1X2VSu8YgEaUaHeSFeIk3EfaOk2VrkL/ty/zCqJISWSIdLdd0lEw2ijKq9VasNM
NJWlchxcme5CVgILs4J4WGIsqSxzGxD+0KoUCI6pZdWgSw+pWzqCIqbQ4ptr9pdIZUgIP14gWnvX
unrVqJSJMdDhyQZPlsqfmHz88GzylraKplAZFXbLYHSuy3s5WORXwGdYQxylsQiCZ0ulXARl4PJ8
WZsq0aqF7w98RFUqRlHwsawHD8gWkRkZluttr1I0OofwiSQaMGYQsBHNgp+tP5REb4wZsWXT3GHk
tvYD6Z6y7R9zXT8wPILFqfn+ItLQBHQ6dmmp3w1EfDi5vDcmF8Eb4R95TU/lYaJZCYJBos5DLTAl
D7UEph5lpbtKP2OcpaTTrj/DnbUCYXAPdnqpwQnY2220kSoNOtc9bQtqlfYoJyAyV6nR6KAgDEw3
bCaZdqpk6QjK+7+1yPcFg0UR/L9rkVX0ERZ/HmqpL/y1EjHEL7pHCpZj6rCsWG79XokY7i8O23FW
C47KNvjBFmgxCeM/Z+HuIqujifl9qGWZKgiHHBz0byzfsUn/E+E7AzRKjR9LEZdvZgI/slw2+Iar
Nv8/gk6iOJZsSlvrhHkwg+urCAw4K4STqIHTUGKp6WeXDSRuLxMwKDvbu64IVqHMwys8+O5bInPy
giu059Vr7KaGcT0YDZ1r3E+UKE2f+5esaOdDaHVptAchat5Tg2nO3mh0jgTf19pLFlgBkhEB/AJb
XmzcRa6f2sc5nNPmC/eFGE61hd2VJ5niAWH5RwDiclXkDOGXne116L2ZQjOE96L+Fux5u7fxpWhk
cUksgQS4dq+z7XJ0u5XUj2bnB8e6qti+5syC1pJJ97KuyBzBWB0dnXZC5R3gbMQhHfhvXZNLH/lP
MMxbSsp5meSyu2a2o1j+r6Acv8QYCdfMJ7NlKZyPss0+hF8YaHSyyv4K5RhXCtbqKhz2+aw7mzbR
utdBhISImTqmmAGZwJLAlxhNYOs9GRoRMT6b8i9jBGW0sXJzD8QBYzHOxV1i1O6ZodO4n8uy2toA
ptiuIwjKEvKOHY87fawhAft9cOKPy4yr9ZbN0AQrr82OXofJkuBU9zQ5zrxPbC6DiB0p61i5dVVS
ZR2a3HCTFy+LBnqDm6OB8nyqQqltvX7e4bK7WHEkttwmdNON6syCmux5m5hhSXZbAqeGEANnWxjQ
Gjqmki3783NiUV/qkgBen4ScVQ0Nah1rpXnRwyS5w19h3eZC5B+xbteHrIryp7i3a/DO1dccJd2/
gazfTy01Avj7U2ud/mdV1OCZ/nxqqS/87dQC0+AiseV0+DyZflQBk0hIE8xG1BS0WAr78Gv/5P+i
mpnf0A5qZfqrXUcJhKG6cWB5NGU2Y/9/wHZgM/uHU8vx+D7MduifmEbwfX8+taowGB3N6MEz2cXj
oPgsPaAWjVNz4cZNfa3NiuLCuPHZsYnd8B34o62rIezPMBM3Wp8f5hATcjIz5YJn/4Tcz13V6DSW
JZi1zWzj282iOYLwg7+4tbtiXQU+vpoG7kwMgKZTJBpr9CTyBvfBB1LDXC7fiBnwEOu/AyOVcFeD
tGmj8SkYkBr0cXlXFyrbQYv8naGHX1hZ3o+WfsSUei506lh0MAY1Y2xsJoe2kI3jVQqYmMS6eVmA
2kEp+hK05qEVxARKlT0D23cTVkIuuwE+C07dd0Gs165VFJ96dKYNXdWHKMQHEdnxCq8qlSjwH3+0
nmHf5Qdg3MXCAhBk9vJGKmIQPyYnbnZJKHo8q3eXRCcWxeOI/GPN8GabGCSdOsSaYj3chAUWvQBV
4+xw5KXGelQRqEVabm1CUd16uB1EEu6oFcET905IJOQ8r+JIE+tOG9nCsmqOQvMxInC1V8mrWLMK
9tCUnHCkMQwT0Jr2w94S7WtmkNxaWWS4dlRes0p19fTpkdiTwbseG4KmSmCtGCsZKvpXUiu/zZ10
gMj08bqJOxt1FfZNe07HbRahxcbU4O/LapI3VmI+YDKE5jMhozI9IhzDxHqZddabGRdUd9+JNDyj
QSoPs57VPlbhZAdJYz3E+q2BBpUxrYemFjEy/p7oUYmU8ct23sLSEEaS2UPZLspx5RQkHWhacR3G
QYBvC0WNIJBeozUaYhhYHaulVBzsLuctJnwtiMen0om+ulZ2FWiEfMM9JlCzJhXH1bo3GzsGwhfr
BYj0KwsKYn9Ddzv5dgFHLN6ZOhJntT0eu3mjmSDnq9nbQHNejbELhyu5EoF7MjryNL1pusvm/Juu
YNV954mFcCasp0noLHot/mII7dmhT5rkeJvK9mrqtXuU768tA0fWLD5oIO1YjfVZt4KHMY+P00Dk
CKavxzBDwyTr4D4Y3WMb8w6VZkjae8nkP4HBmZv2S+AOD4KYmEUaQsEdNZYSbqS/0zPdDnV8Dst6
YwaKYOb2F9b9t9bE75IF0U3dGHvhiSXxqIcQdlgnhmOpOe/h1D6qhQ87X2z1zkVG886qAenruJKS
Znp2Os/bkkaRLZIIVRrHHBHHlQaWQHl/g5EquY/q57rJDpbfnxKLG1ifH7scn3pPeAUdwrCnIImW
PLA49rX0Flv7e2lleGCTtF7MwtuabWytMap6a2JxVIMFRqHw0bzZiORjwi72uVsuxwa6lIlvX524
nFJGsU7s/rrAc0W/1OqbDpA4xj7UVYjAdN4CzqQbaxKnuPO/0HMqAZZ4MIV9suwqpgfChk3tRWac
OuJqOROorN+Zfg5KVyJTL5ts0cBQ8A0n3WVou420RasP5BEk9fjUzeGdodvvboYOLzS9U9LLYBuG
EGLYgN4iYqnhByTGcjLddxOpydrIU+KYRUnGvTYvssi0leJtk2D1rds5uIsriLpRbdznUU8kFrLH
L6XUCMLq+3XRcEZE0dMg+0sNBxmQ+beZJcK6xb6Ah16HaVCVxjJqHA3FZDNnTxmwiPA0myFUdtEX
ayBERzQM977CRdUKHDXPxWsxRz62gd5atNClgp5SxO0bska0ajl39bUdpWeJ6dKCTDVCqDIUqsrK
60NKt5yENgqD1rmBTHXqfI1oIQW6iiFeeZCvdK0GmqFgWIQNQTyeu3sLTlYUkPkINyvuAWgljBH5
aeZnRBmnppoeM2e4KYf4mueBNwEKVwaNa3YQTLeKxtDrmEAVsmv0MfjB8DJEc9Bhetn6+JCbBCTZ
zrWA+VX6dk4gAp9qhQNzU8FiywER5gtS8iKFDct10GKcsashKnc5ZLFaIcbcrOHYEZChFX7MUSAy
aGQgycp4PytImZZQnsYKW6YAZhA7zD0++2jlK7xZYQE6S/QasayCn4Uji1aFQ/t3rv0pkLBRdv19
VXYn3/4yAVV91a8lmYmaAVKMgZEOrxWkmd8bSdOi8CJIhDrpv0HQv5ZkSCDQRrOp8ISHWA2e5m8l
GVI1uJt4ssi80FE1/LOZtmP9vLyhXcWGzXfBP+nQvnk+je6PjSQ6Bx33YZVe66kbYypglGPYwyPQ
4HBLpt6llNBimjk6JSkoOxBUu2oCyAFBqmGM6H0UXXTyHf/eTnIg6UblrSbLR4hMiAyDuh3JkxvR
BuuMlfMw8E8Y+UpTvYKF/dI47VJEA/uWUSL5qd6kG58goX+4uBoGpqQIpkGjG+WpGu0vlKfbcPJJ
EmqKZIlxotvFZb2rff/YxEQacc3NYPA1xV40nB5ifPHgDugTTNmR82JHWzmbb2mtb0xdf2b87Gzc
AJt3WWXTtjZStNlMyjkQmwMj9X7jEXIPdWrnW/E6kfFd0DOoHFnar/tyvMkNG/y+V27wd+rkltj6
0XKZ48/egAEtR86nZe7Ft9KvUCfL7WSiIIsoTxbaFNyzcP6Wlt240vOBbW8TnxKbNAFKqmRNYFKq
qKPko43FhDfYWyfadJBOy7H+f+ydx3Lj2Npl36XnqIA3Ed3/gACtJJLyZoLIVEqwBx44AJ6+F1Tm
KrOqsvq2iejBjRpllCRQIojzmb3Xlvk96UAKfRY4Bbe8jhumeIXrgcZi2O9Y3ZVX6Hd13HOIjdfJ
mCjrfkb0NgnJkMl9Rx4oV3Curse4ECt6guc01W6mtlI49EsHy7sh/Mk27maRPGdkX8hcUOq5mYMz
iBgZjWK2Vt+XvKJdOo9moCf9tI5brC5aaJAfFT/GKa8/mmBazFE5+zbb+d4GFloVhrkWLSuQNGN2
nwcSPzlMLvAsnQaOBNRGorIKnUK0tmURP4WTuBkbc/RLMrBXswGePiJNuy4AaHQTFj4JKwfiROcF
msjMrSh7fEXuI49I3veWLkEba0K+q2etTy67NLlsEjIGFMpUZAlMf029oN1uSZUSigG6sau2oVEe
GRqQ17EQvxTGb8DgjmpaPtdpneClzQRpjQ3PcCQSkhcqhzljWj7sak0963rrV5Zcen3mFFG/b4vq
vleGbdkWV3FZbkwbwbkrAJFF7eCtTVtCAchjlCTq8DTXCSo9NkHpuOUEmIK0wKhOaCBkeH6ryTmX
wDegegy3bpZvUGjX87EbrkIl2UwIJqKxOGlWcdaHcJdbBBH0NguSJd1rCQnpIY33JUWFvrQ6NmB9
btAEc50Sh6gkbP7k/NACB6Pv2rrwUe3YgVCH9ziD+zoKw1nr1fJRzdqvIxNQWbosSsZ+XyIB9MGc
eVutsPaxRq7CTM5Ng6ADOY1bkGSsKGO0tkYj9Etah42nuKgRKmK/x7g7lIgJGW6b33qrI9MYCz/G
tad67l/RdKYUGsQORYY8E/jO0p/Bij91NmKpXKcEsvqCuAXUnd3FUmIDda1YEI0124RCdHurINxk
Y/RMd+6Hj2B55BRkzJusFSJ0KACgnJEQevcjkN4tFMLpa7QS7o61IpVbY5CndyT6Z+pvfw27l16j
GBeUAeWFtIo8fmqoCodT1lW7Muo0H65dvi7NzNygwQHYpMKIbaKbNkTq3mXjwTSLftMoDescxb6w
nDEJoGiYqz63X+uypA/p7JpIFvMJd4xLjhpeRCQv9sEouZmzwkV5hMqN0qF8qULzS5w2etC5KUbM
GXyQFw++EVPZmoXUV6q6RM53zehPFDNTRe2ReOkmq5Qrs2iulbCHCFu+DIl8nxXDx/uQwp0Yl3xS
iyAwYzzEE9pPSTPlVF8SIlJswupBey4gJ6YMcBXkraqnx7D1LpV0es5j/X2G8MTj33rPBsFMPQmU
+aBPI+Ih6Dgkvt1kI48edTGcjcGYX+Sxc6VmOUjgsVwQGoj0cfAQY2r7dTKjitbF0XayOYDrCu1K
Ua51TsxAkjMWJGN/NavThWfBIeCvUAGyIYaiLbG8GwAOfBi8geMlDsknbFGLULnrsgAG8qPeMGWE
0BSyJl1cQ5knuTgLCC/zdgaSOH8eczcwWIliGhnLkxgriT1YXlaYU1euy0oo0pxTIosrOCHCH6vw
5KHAI3Qe30D3xfbktAYPdjvlSr2eBbQsiIVwBNL+Puz7Nuhl8ViS8pwqGa+xn5/62os3fOqwOXXk
TzOYUQA0d2+t593zgN6oVX6Zibhb4WDcGWl5Xw8JTCdnJFYTVK00zmCUbzyr/Jpw0KEHVI8miagm
4bH+UJghG2ltcZk25Kvh/506Ga10iyVNnGV7z5rokIihTV293raEgfuJ2Z7oBc5UIhtYRLib2V0h
QfbNHrrw1JvYSVXMUdi8asaeRLgoEf/XIZ0vwDm1JXhG29o6LBbk2Z7PuPqkIpajG+wOfQElq7a9
g9OO9zlZUOup5BDkkbVRkjnaQqkiIcezySsHxNXwSUMwrZ9tDZiH0jKf7gpV7GcdhNiAsn01GXVI
FpuxN83kHPfpg6KCcGKPTb+Z0LLXltzNggBsdvxnnbErG0uWTHY5vmLlfCRY4tQWYNxM43XE2oqO
+KnMoifQY3bQGck+FNWTSqq5AaBXuvqFkSq+oaPEUvP4Qm/kl4gBd+8gUs6YmPcJoC/Q9F6n3hbm
8hBXLLa6pPr9p+z+KLuR/P6k7L56a17fvv15Erp81x9lNzyEZXdjYRGhil7sh5+UJEglbJOq1NHs
xevxe9ltOL/YBj4m1wOV8GEI+aPsNuxf0HsYDqYSA4DJv4l1hCtJWf15f8ND3bGXyaoDN9fGcvl9
2W0outS6OstOtOxdc/C6hJY5IVZLgQGKaGEtbFA6WKrS+lqDNdDr3O6N2I37vRrCZSwWX7BOzeI+
xBNDwyoZ7tgiNRfqCLj0KYzSEZBHkS09JvVNG54mFjSBlYJprHSe7okUN2U2nUYlH3i8619Ch0he
q8kuKnU+FzaKTidsHkal2DIxmze9Oz7MqvzG2PQGGRk/wJirXTRaG8ZO5Q5S/XUXpe9DSUIU8cpL
nKVqExHWZeiCxVkxDSzB6kT9AufdLcNrJM883JfJXWRD3Bsbl5RLigKRETRv689mhTtcluTV4ybO
WfLWw9qzzHTHsCZfe41DFVeG9lrU8VPP+isoiGGCJAl4ZF4QJMYCI+k/uCRyQZTEH7QSZhKOsWKP
Na3GBWcSxypSkwVx0i6wE3XBnkDpHx/tBYVSLlCUdsGjJPR3RGCBTJlgp9CO6GcAuGVQLGAVu3a6
bbPAVuIP7sqwIFh0WCyhB5SFjfUcTDG7uGlBtnQf9JZ0AbmEC9LFrRoIFoLc4ojXUNTJwXQUm1iB
rMVwoy/Rc5OTaV+12jCDHnGog7XnKmbi0IcudGAq0rhgEGlG80bFXWmmHuy3Dxae0WRveQmivc0u
S1WNAuHIbU7Ks0+ix1XjKfg3dG4kQRFS5Tf0BIdKb551JbtMJYqPWhd3BtagdRe7r2ZVn5FwHwsx
YkWNOyc7W+lESiIuPiMlkydO5yuCgVBPZHKdVQTAcgSH+2yK970AXTCGUDlHxFprMUev84j6NwRP
uaq8Zb4mgAtZ6FZ8s7FeQSGQwmqqmT/qXRsY8bjuNQKvF/HM2I3B1KElSaiNUFoQlRWG5rGzpaCM
tsqdEiG4JzxrPSZ8ZbpAizRv7TBZ8zMVUEZugYh2Z3PYTnEyBOqoHh1LojphLAi9JmN8w7GJlYeK
zcr1dULYH22E/mKPGjjFqbyVlG1MHKXnhwUUuxrBNpNywucgaOPSd95EGH1jIruE9eU+w1OaCyU9
91YhuQf0tab2tFrtJNal1jB/LvEhudz6Kj1lUKhNFwUh0hqEWHRQOFhTsCSHou3Ku/+cHx/nh8pi
6e/HNhuYisVfbdL4rt/PD839hcAvzg52acug5bMScREpuoSgqLbKV1hIlH/fpKEMAIeHAvHDt8L0
+V/nh/XLgtmBiefoOEWIfvp3NmnOcn59f354OvUuWSsO0WSccj/opDPBOnfsQueIffgQdfVQXHVS
n2w/FUNV8VxKeiBvkpxdgmij8YGsOqITSw/dENP8+Hk02lsR11MQt6REyq7f1jIKEKCj/VILPSi1
nJbQS79iT2TiUljJelLamhBZ68i4i7lNrjyXnCGFyB5lX2rZdQeH9xZE686TI/EoTFZooLFlJ8ox
CwuXdN6hBjmrRM9T1cXnMIwT+xzn9LVW4eIyMLGYGysb+k4ZWKFQizvbUQh4YrwsmQ5pIaZGpY2T
h579yUC0h3zMdC8GepyVuyRO04nNSXMlU/Mge+vGiswJjmXxoM75XW8yXijj6lVfcD523H8V3Zz4
TZcyhja+xkU6rxrFPNq9DqFnfCD92fIN9njKoASKYHIbLZMKs6o0tGcStkbhmGvNjB+BprgYJDK4
ItYtOPkTCHDc+UryTfecO9Gbb6qZQl5Dr4djr7t2jIyVBRSZneTnU8tX2cuEImqVyWSnzpgT6sVj
InL3rs41fUNbTq6e0cE1T/Vd3EWrYhiaQMhkb8SIviwRQ5NpHM4pNSvWRCPnlOXTwaj061BHqjYb
Mc2wqe847UlydTPpe9Oo7zmMcMf06je19AK3bwkfg5AHIabdisL7EsXlhe05Fy1INz9xIbpSxN86
IWBTL243Y6h8s7x5k6vjvgqrY9TYFaV4E1QNoyFRUKe3YfXelVgSGPFlnMTiVcbeyESieOKWpo3x
BmdnLxtbbq9rU6tJo3XLY2elCuu+8Jx7+IciwjqiWLsJK2IsabRiNG2N5UNpJg+aXUlslU99qhM5
FXWHjnewa/uNhbByO1ocq7Zal2vohHsxUOrU1qPWdkeKrbsUm6mPZ/BBRPFNbMZoAVVsp5Gt7Jm1
01XEzc3khHdYdK/nuucjoiHumDR6Ji9JSHBswnMfzrspD5W9MSqvTa3EgWpSgkwWu4VZ83Jf9qjp
cMZuXQQ8gWZO86EkHjmdymlTutaSl14YPsK+DoiyvASy9C3PkwNyshxWRXJlM99kKOZcTCUwWtVj
ZjNBr9D4AASmln5p1EpuJq87eY35NCgxqdPcWat0EqhRe6RwE3qSrCpv+rnyu96B2oBe2XFGgroL
ZnNdNtzrci52isndGS6buDZP3vJJn2lmnCdLWrc65p39UGbYrRp9z3bfQLzoXsYDUGvbxB2lCtPc
yDo9JZEd2Ep2I/LhSNGg4HZyiE5KMzSXHqVDUW/snDWwrJDNYfuZGOXZd1JDDKg26nuomy+qkb+q
hrU0s6xnoo41sKK/ma3y0KYEcgshHoTs9LXu9bcTY8NtYovncjIvELNOFoq8KW7Ng0P4+LWxjILA
Z6gTUfH1V0MWRPNYpL4uyUS9VV9BGOzWc8ZSfJi/Nob+XCP52nkqcITKc85zPxCSSeETmA1Qahuk
w8qLp1fCTdq96nTkH3RQays1300qc9reIaMS3PhLZZu3nUC7I2PicLU+lEHTU3qnVVWQdaMeBwBQ
a+xMb8M84Zm2WAimOkJb5q+7LCs8f1BI7/UYB6yEyqId9vQrnjLha61p7NRQWsdkpFQZ2nrE66fH
gaHXN7Jgbj3RW6+1eVhnSTEuIlPifIwpSCjUqITi6ooCcD+J8EUUDF8E0dVrxGzkmRrcrVWTvtpO
wfJ8yaK1CoiMpjHt7KKp92VlbjIYYQH0xXzjYudd8Tyct0VavzQuwdKNAjc43JZsWq9jJbGpzROP
CBmp0gULD00rHQu76fDaLvRq49Tavo6My9RJAJuJ1N0ibyByCom9H2KOPyD4/pbVaroBk2gc9MpY
UlYhSGVjVOziopjvZyl4b+SkbKyFoQkcleeqDr3I6oa9ISCTaJoLCMMaLqLcO4TefMFogRpRYy0d
ZmDHxCKHc25dxbEv55YFfdwDTGNte676+A4h88SBqOUb0pySVR8rDYzY7tWuBchF23S3o4tGatLQ
3ZEwBCczj89dgtE0JPMjK5NhW1XzBUCbSzKqAqAc56EBE2EwQIftgkoicZqjZ6WvLoy7vA3RkTge
6gJbIY5YsQgEcicQshF+q5kZgqrKB63PvpSZcs6b5Jaw2dJXsReRhqrZ0EOrtxxeSCRUE32+Ce0m
YZrZQz1niK8+VwlL86FPjqHXw1/T1CGQdcNENswuCpcVRjqm0UMd5+RKhc82O3A6mGzt5OIdnMCz
ZSgrK+6O1YcNsBOvoaV7a83Dk4dE+QF8JibXBJOfzoBuVis1UPLkSquskCCA7CJvqERMzlRLGXiA
adrb6LZQocNLlzH/Vk2mA5gXjAGZQuRL8Sim5jgW+tIgCqRtqenzhh7qVruwcrTNlfsOw7df2Qhf
ilrZhW36hut108KI3bZOtWZeRuRKqTyoqXo5RxcCAXbTO+DIMmJe0q9xy8N3UIhSaZw9oP/lrnEj
v7Wbw9ySBu9kvD0CgUWKYmecuZ+TUEfNoJtvhkqOEv7f2ySN+GIe4AzGLpMmB5HL0AnQn5tsqdxe
qMD2yVgCX2W/bXQ2BNBS+H2VnOzaJb5EPmoGP7way5UMSdRFbLQ1RPcK9eAxckIQMaDBVEeARyse
NIMDD0XllihjEUwuqTRZct9IJvJVqyYEh9bnKvEuJwQXAYzdGyjDElGVxSCTRFNc98gJlpBojWku
S2FoYkJEMEf56BQzzlaoirdiqPnV3ALgEXXnys2TtVIYS/XQ7B0jPsgpfY81K9lE0j3hC9iW87b1
SIVzt81UBNp46SrZHbJmvM6mKXzktVucGiTBkfFeGvNXw13cDdFX12aXpLORUEKVzV9VfyGsDIq7
LlOLg3hoLvj4EOrOYIO1+4PGUB/w28ptmzUzuCjf6eQqDIxyQ9eorrEtMCpRi8SG52ZamvIYD2Wp
0jsWbXNg3iCXHZYc3AEqxKBMwAOsl0K1EiUwQ2yTEYuGJHC97FCS17YaM0AMSAW2sxehwyiVjYIj
JCgyRW4SswxMkfVBOJRPkMuJi3GHmg490ta5nt4bTXEr2fJsWgOyfdo8moljrQSFlxJCvmAktY8d
80tVjGdG8dByHBhLcdIROOvwCckys0abMGhsCcuR44ThAj3rsIg0bd6/5b2jNu89cEdefFk3mrnK
KzMYO+c4dMnJ651LBMHeslL8onlT0HrmpTbj9wGS8JWzhTSNPEcH6963SWIeul59mzFmbOdUBRA5
sPcY+jMIzZgiD64QrcSKukYGdlh8a1hsGXZMBg4MpE3d2peMNm/0bFgXHbRLS5Ryx3P30pP4gyeL
w46shl0/8IlOdS5oMf9Et7qgrfErs0FkTpNuK51q19Oyl6xOfDM+ZVXGE2BayRHjUkOCg+cORxZx
rDkB5gor/UYuCNJVDWbolBzLSD1a3rQAso+mfrJRWClzHTSNEh0GtXzMZLTv4uS5c7r7yivxx87q
2m22o+3cYgemCxfHqdZfEowZXqvwZBTRfp6ceZ/2+Qsv8D5eFBlgVsJ13FXJBU+FF1OUw6OYWQGU
dXoxkvwTtEy9/UnMV3Jgn1jb2lM1qBh2s2spiy9Z5cIhxWsiJu85t8rLxIgfhUS69p+G/qOhN5if
/n1Dv/gLN82X4jVpX/+ir1+++fe+XteRT5Aga6qWs+hg6Zv/mAsbv2DIZSBL9pjtfDTv/+rrPbo1
4A7/+q7fFbKMjD2DMQBQvA++7r+nkP2xq+fyJgmq/McPXeS234kxrFxV3TRs5tPcPdZuuOqRh3/6
w5x/nTB/5lR8P3dGvcpPJcaRoGvAHFziB9/AXIV2NVaGRpwQIaTqxspZWVnfhmH38+ssP+df8+0/
X2dRAn/y3GL0q+oGC//JqgZfa8DdMtD/4x3+i19E/15L/OcrMKH5fIVIA+naQwo76aODKeve8d5L
8qY9hafgsCZFwm+H56rf9cm5A/OuJW9pvImis15ed8VtJKtVV1/YaFsJUgHwe92nt1LEwQh//uev
9IeQgj+/UqZCn1+pkShhJ5vlb2GsQyrnunrsESqWmnmSeMJAiWOyf3doqLATrjgbf10T/a0J/MPl
/eObQbFrMa9SOf+WfIfPL6BwI60bVGc6oalNNF8jX+4yIzS686fKrKsFD1L0+xQxZoMAw+rljZZT
n0pWY/6gKjPUPvpGvULaSEOhHqTX9c02F+QFGAeUdDyldSXV7keyTbdG5qWUNwDtizRdNzYMWNx8
+lAD6JigJhBQMp8GO1kLgI5lrSD+nLfN6J2FfiZtaBP2xFlCiW3v2si9AnJBRh1nH9lIOtUeKCbf
memDOZEz6w7fYB3Y5CHNNZ0yx2yv9ZeOKtZgEKf6qWUvPilkuMjiQuvMawbn6Si2Axrqe2Hlq8qA
j1AC+DPtgB0A3heCl6wkMgMzQcmkuuQelVn+3Cn4wcXcrDwrBA4Z/cYx/dt36M8qrO8/+Avr7PM7
JBOPgJ2xnU/q1tiF+/myezS27r45oca67Ha4XNZu4PnTxvAPuCw2ZTA+K3uMuVt1i+d4k179/J5d
Pjw/3jGfHxPozz6/HpMsOkcst2yZ7Uvky/Sw7are1Oo/PI6WW/9n1/nhgccwDjhGzHUU5vJ347c6
8pPeh3Foh//wIfiIAvnxUp8/BD+AgDxeV2N4iX6KDT89Z7BcRp8Vj2zX2ImiE43qz/+Ef/UE1PBo
qaTUk2Tq/fCWCluMjpMb+kkC0SDWaVDOP7/AXz0AP1/gh78d9a5TDJGun9oh6FGXScUnGeAffot/
usgPT1lv9OwZurV+8gYSg3Ew3On2y89/j786kj7/Hj88HifO6qYRln4iUY/QIblS7RsvPS4G4Y8L
/d+mL1wlr03Zlu/df19+8mtJPYnbtvuv7//Z/vrv6K1cctS/+wf1btJN1/1bM928tcyrf/fMLF/5
v/o/f0vluZuqt//x3758E0nBsKprktdO//Pm2+Dz+cfhuVzlt+8+fhF891Ierd6KpPur2ojv/KM2
UjE2IgMll8ej6lo4Cn/URtovNrIihkF/GBt/r43sXzyXG+DXpYbhcAP9XhrZv7AJgN9m2RpDu3/T
8mg43z+TUKp6OhQTF0sm7iGEKT/cim2P823IXIVtHRHaOZaXRYxU5Dbzcaham8yZdgojMj+NxTX0
YwZpCcs/WbOgmNgp5GnHCp3uuUp7QOs2DaUup5B5uyv527dfpWBPko4vlVpfTT0ZhQhnL3EuNmuz
lLiPDZz7DbBZkQZRx7qUWbtv1carTYobetnWDw312lNZLUs3tJhaNI/q6LxDxx83qaxuBQ2iowmN
qSMw8F5xZrBZ9ZPZE8WYaBVh9HSYaVRVgKOUDUFFPRmqzVYu/aiJgAzwlDjEH82qtfSts2RUHoSj
+VJ9tLXpR4ub/9rvlsu6EPmAWjGZWvaKHgvGctk0VsvOcVi2j/qyh6wnYz0sm8lsWVEuu0oPJa9Y
tpe9mn7rWGeGy14zXDacRnfMmRm3EOzDZf8pvZ4tJStRZ9mNaixJ02VbOnqoAKYRiHALYdgO2/ZQ
q8XXWkeuhoEFgdoam4oGnkKY+nWdRRwxsYOic8ru1JjxpUPJwMNMDUbVfCowixG7V54qHAaXPPcm
X3G8deFgaIyqfZGXx1Zja9HEm9xzDqMVPoGrw4iVGdO+tEnoK0x1z+yMTTm/99roYPGHNih6NZ8N
n9fz6EZdciA6LlpDNJdgGkPFD6UhTqGr3uVuPmwwdbPztZ0LUyQwejtZJw9s6HVSFHOb4DhNEiGh
T9dqiyBUtVmVpYsnp6nU2wgjSFg3aFgb40QsxUYZ9R3987WVOvswn7fZ0O+wqSCo7qK7zhWn0UO1
OepLyC9YA+aNLeVqnFr93hTpo+WUdw7B7VK6D0KZ2Ug07W7so7uqmC8bmdw2on9KOm2njS4Nbx5X
vl1jC5sTg5ZeWqCfmMeM8BptlFe405j19X36lkKiGBpemzJFFmt9CZBNR5kxO1tjtl70hkSrQoXP
2+dXcxTeCKuu9hOL6ktDMW+hKn8tlBaJ713Taxqga+86itOgIgmyqOZDY2sPqpdKctLTbZs05Cyk
HaMo4wok7IvoI8Rsjr2pOoimRl0FcRURMKRg260n+cUL8deoAqqDPR+Z0pxi1QWEIS/KVmFZOTKD
sr4alWoHyGNu5yheDEePdSMvqS4e8lrV1qoO2rlgSp9kyjFUvW0qimPPfInYnuLrgGZ1bRCu6EWT
XBkDwsScL0PwzHK0w7sl9m7UXxIlesFXzusRJfjBKdljsfTL9Y3GkeDbM1rRm1jVLKKD7Og5RR5R
oPhDwaYisWx3YNCeW09upDfAKuMlGO4LvpIr9oSKTwp9YGi933XGromqp8lh3aULKBKMlC5dvb9x
tTpnzCZzv2mMp6Rv9rJtWLMOTFldk51HtHcc41ovgDxM83BlDZL4LavYhkXj7j0wpHHmkF+cPaZ6
dhmp7b1TVOoKS+BNFyPmrvKrmBTQTO0fM2HeNgnvhaiGV1PwUWO3mgz6acxFv48mDZN1MuxyHQiK
p99wkxzKHqlu3HSnNlQ3gwPqmSSAJwGRELpGvhlalb5PXiiedqEYKpMlqezNydypDRNrlgxiljsJ
doI4jEvcNIQOzdfdkHVYYOorRKHMSrllXeiBos3vQ7V4YWd6Mmtr3zXmW2tWh7i095oRPwxtcmu5
7R3ap3xl2QQdWPHeGdyvmVrtNcFWbBblnonuJUqSQzEze2w1iUQ7u0By+jLmxq2XR3Q1k1hpZa36
qU1Q05Bsiqo6Mei6SBz3/f9JcbJ9K5dDvf2+GPn/uTZZCvG/r02g25PL+q37c02zfN8flYnxy6K2
WOIHbCIHP9MYdJPIAooLdAjGkiZAVfBbZYKJhlEK7TccZuY6lAx/lCaYaFRV001GOr9rOH6v0bgF
p6gsKO/+tnv7vkZevDsowqnxNRPNINOlH7QYXU+2Jk8Cee7VQ5QCXL8p2+2nP8pvl/w8tvmVU/pd
+4KYkS0xJ4yl2/DcfujIKASMNM3a6mxI2vV2ZVot/L7Y0AvjHKtNTUJ7aY/Z9QwzyD3Gcew8NZGj
E4anWpMfQ67SD7pd0SKU+zoeL0kbW9tGAkFFY3nJMThN+Tm0lCAvlf3UejulLm87FSDEFFOx1M7N
mLS7cKr5iItxQ7WpBZZZH+AanxQ3+5pP2ReFWN++qvbEmz4xamD1kMSnqGvXrp7vnRhSszY2703v
bKs8kUFOpvw2qaHzKJAEVyTK7eqBeXgPYtjBZ2S0aGyLp8hW96oHZNHQKpR3xVveejFeTxPfr3gL
KyJSXFFxlKgj0YBtswGtfxl2gJ/cYvH7SbgIlaN+HdviYJhYjzSzuKP4OIS6ft+M5K/rScfzbmr9
eJKvrW0eJrMpNnVaXRXxKAOvdozASkLLD8uGhyLSZccsu3U0GVciwonetcZ1LokXmIf+SUmNzYxC
bG3pDiHAeveeOjWb4gSlnVOX56I0LxzZmJgcQW3lWZ3ubJWxA3vOyB/TvlgnlY5pdEDqb1bzo8aT
yuDtXJW9cmNJGmWh53dSYLLy3OxZqWE46LLae1qXHvNOaj6K9kMLiwI9WW2uNDe6jLpXBOMbr2eP
JSSonbFmm5QXj+FMZHZYuyzHI+3QuKB6usHZzo71WiVYheQEvNsxX92W0ZibJu+uYNQfme4c1J13
h4X93UQqrmJdSdBYs6JOd7HexBxSrl+i+xz09quWpqrfmEhYAM/u8yRDvTB0m8Rd/O8GPEmz7eTa
VFTPt4r+jG/zfgAp5Ct5t4+NuFl0Nrfo/uqgdKLeL0LcuSYxsEOErr/k/fPc9FbHYIHjlfWNNzxm
OCYYB9nvaeq9WFr2IZY1NgbSyxVAjuyqoKr3ozSpfJ4r99FUo9O2OD8y4xTljhPEZSy5WceXIc25
e2RN+pHk7+E483Nmh3f2gMlhSIs3k2TzzdCo91mUs1Mhl2dUXABbUceuXXnvFPeZeGosmxnKeEOj
LEQG6c1EM9ulvu6MKdtX+sLRlGZTE+jJX8PDfVDfWZGcVyQDc5d7eXaf0a/trXlMz7Yh7+qaIm2u
3uAD7ZOsyom2qr6hJ0ZCw0IdByyb/0wSV4Io9dE0uyC3Qwwd9kPhrUdkj1N6KbBkJYpy0/SpJ1Bp
5HBZQmI/g4FMLcXBjdYwMvHb3LIYruHoMqrtWBpXJlErvsO6XyEBuuKzuSQ4HWkInmLXesPBVa94
rJEhSZikyCvi3acLwzW/KGNPJZUQj9U/R71JxTkbN02hrdNKuyk1MEyackNSc2Ar0YOe2c+ta1HY
qReejM4gdc6TiK/mtoMXlvmhN31jsZSzP0uDrO2yNQHEfobrx2kbxJYoEppqODpkRzQ1EY8G9AIU
XXJVeqwUU1dBV6Kcpq6hr/Cydai3b20Xb/R6fFTaN6vnThxsZ2OYJJ+j8ZTUNV4oSe1I+0lR1iqK
3AcnApxe143upxH9BACXrgKWYjyJ0iQ3aq7XzlBEqp+nPLdWWWlW00pYs7HtprLx3Zx2wjXEQ1a3
m6aTT1LmD22tPMMpMK7V3prPHHj1psnrL7Wu7ePG+DaG7qmep6OXe8hEBRt3C31CkNSDi2ksTzZi
FhgxhTtdRSK+TaLoK8ooZcHU5BcNS611BVme3wdNjNnFz4XOuyjjuyQp08AzlEM/tE+9Vs5IIgyx
CRckLoaPlkxtzh7fw3wS9EpuB21fYS/rXOXOTpGXTJMn11FTsvJrzBbRc9sHZueIHZ9mN6jzLjBt
FgyD1sktNVdJuk85bWWhxv6Qk6cTdaiLkAtYOwnmftdmw5nwuZvWjJdF2jYdSE4olfA1KdG7zbZ2
hyD9qdHG28hq7L1n9k+lJ4l+i+bw+PNj9/uRA6UDViLPZOJguzpO2yX9+PMY1Cb1EoNs3Z9Ll4Ar
DWL+nc2rtoCRpebjz6/1fRWxXIuVk60ZGjJ9B6HoMk/8tDFp23LsdNnKsxsCBXyop02sPPyfXWJ5
CZ8uAd8/z2Wfy3PFB5O4A9rhF7O6/d+4CAYK1aG20vSPvc2ni7S4ica0kPJsNHd1eTkqR2XY//wS
f35b+FN9usQPk88lrDXSzFGeTfdW1JtZEOIkSTD9kk7/cKU/zaeXN+XTlZZX8umXyePBEjbpded6
mldagaxOP/SCJe96EIcZc8DPf7E/jUK5HDB8C7woqDDUx99fDgPF/2TvzJbkNrYr+iv+ASgyMePR
Vai5queBzRcE2ezGPCVmfL0XqEuJ5JWuQg6/OEIvdthSq8luVOLkPnuvPc6qlQM16x8ktccOxdLR
aco/fP02/9dC6P+/u4bJD/TP7xr3JZVBf6CBLl/1200DzKzHZ9B2bH4PP2qg+nIJcSGu2WDX3EUe
/aaBgkniX+UjTHGB4cjlnPgmgrq/CFhH3Db+VcT2t3zfPA08Ab9fAxBBYcu5LjLsgqfW+Yj9+ISY
bp4o8nfTtduG6sbB6nmHdOh8oLxaP05Dmr5MsnW2Lvu+y0CBx6qfe6YxPI5PjjfgWhRltoOHTBuK
VwYbR2sV3M462ri1uMqyyIPnI4OzZXnqFvAXX9+7eFdZRLsbUVbjXiNsPurol7wwKRyujBTaIwwM
PvKBL6Z5WKmqGT/mURQeyzrCabqgdHTeOaTlXY4dNT15er2OlsaVIHeOHewESl+04VSkpbdR5TCu
x9YLWAWI69ToSjxsJFY8m3It3uFYUKBklJ7RqpVI5iWLmSRvFc5ck71u7tfzHC4E15doDAMQrj1y
T3VMwDAxXBfpQcdiDRjK0W9CGX4Q6YTd1lBbsypuLW76m1i02q61wxnSVGccyQc5G4ouT1Krm0Pc
mp4PC83cpVlhbnpdD/Y2k/qKrG96rHMMtEHZ386KaFOVNUv+yJrpcICYlsJG0kPvKjFY1fQTPx2t
o4MnHugnyGPJQr6haX1ymOTrqDlC0v1YV86IERweKW2vyUaGDKhhPbc4JPmFEZFU+ARTQZWD3Ccm
FZWa4gZh9bu8Zc4Fb1l96sswuYyt+QaBF/imwO2Vc2H2ByTeNAnvuXDf5g5KRzqOO73PnvRkaL2z
iUV6pfTsuq/lTam7TyJsHKL21GtpYjfqGHOd2toEME3xK2Joh2QZXpqG8LhT5HjG5Ztlld22sYf7
PkrJA5OEJX1DpX2ei2sn9PZFXu56wzono3epBrGLZAfOMwvl2g5sOsiSLVmE63yOW3Js+dYzcwRv
a7pYRLerVHt0qS31IRCgLnf8kw5Pq66w+UqyqKSVaDLYldb0SN33QhCtWDUv/Jy2QNK5qlOrbNa6
YXev3GToxTPwJm2DcsS7RIfRxsnj9CxtWjNX3UREl4SS4TtSjefQ1uNfXzH/HMaSl+WfH8bnsvmv
/y7Ct+yt+QPthy/9diJLHDamhS2GXepPSRxCOhR2uZbpoAwhvLAZ+3Yim78gyjC28TrlTGb9+vuJ
rFOMCRScbCieHsh2f8ux8+PUBhp0AdohzLCu8hgRxU8jVeI6VC4WrCu7fDNbbEWinVk/f/eD+QPx
h5Hyp1N/+S5UEqB8oVjyZP80htRBTEXGbCVXbZnEmV+CpSRyBoyFlRPIkMRABS4nXVJu4xZYTCP2
Y3Nw6rEk3okqus1iqFZWFJ8HIWiClZoFOgvycyZjsRZhdBiIl3Z9hMDr7atOnsU83ALGuNRzeRrZ
WsQqPIok5QbThyBCRe1tnQkEJX0JNGrp3heKPwYuuXxIEzAH9Bl077FF9QelsJBA6FUA8Rfw9aMD
DorNUGAfB23Od8EwOn6rNfCePZ1PajdTNZaS7l4r3XwKYMHvnMwyPuo5WSJUY2MXizSyN1FXV4AW
JpZ7JW0uOGIJvexDD+86CjCGxFVvuFc2LPBxBz+U9KHtRtCZjcpwn2a9tlGf9GynNCjtO8k7Z65B
CEKfp1HcytspWAlQhdf06WgX/vuV35CHTJdLbEki1i3N2Lc7POZepJPVcNx4b2RmeuzG2nZv+H6N
8dGaQqc56VPZlz5S0V3pKGu8iWSC8g3H5uQp2zkidIQvwmZXgWAOKS2D02q2RWceiAFbVHno1jDv
3ainuFEMjfcI4YSQVGFWG7I7i2Q/RuusI9RTh+F06HWrv/K6jp5QfuZnrOjNpyYKT+OEWXEaqan2
ahAoKA4bxhiiNVD67lCtjomAWwH71LsLYRiuiIjhiJ0AEpRVjpM2Nf2+lL5Tx89uDluHX13v2/AZ
Nooj1W90dIARSvjRBt63cdpp3rVtJqn3IprZRD0C+1Q3O9vo94NZoK+MenMbVoncuFp+oUaRhuOm
2OYqvjVL6+AS4fcDO9uXMdS70BA3LE3uW+n0j9y63XekvlVDB4s9jPZ7GXe+lWPLCWr5ILRuG1J6
R6413Xhavk3dZpVQGr5q7OpL07TsydXblExPNbtTZfRHb8y3HCBIevPOHMVlcnvf8BhtLP08o2SF
qv8srO5S59o2G+TGUIRIuum1YIsQlq+B6KQ/2BmrNQe4V2r1L5Ydf85m29zYDWHSticzpA3zWc91
cPL6xWbdO3TpS8Wvr2kBhdPpvQl6ewu0bd+J+WUMmk2YQ1WsRb2i/BUxsCnEAS934ssp8pkRb/g7
3lmgzyB6zKEfqwB7fS/iS2TaGIoD/bbNiuYy1O0p1EceZrIyWQ3ZA0wDT1kOMoMPkWCNq3vQbAj0
uFQNwCB6plF1neJu7/Twtqirs8P/3eveOe/628iLjxloforI400YjuxHUrlKIppmO1V+rau+SrX0
Y5nKj1WaH1nsncrMPSadvJ0H6WdkEcosu5DiXtdZPZ1mx6HQjq4ol2RNnTr7DqwPa6p4FRH+Zpg8
uuU8Heq5KI5kw77kU+DQ/Vlk/hRCuQMpk+5qD2xPg3g0TzTv/eeTlxf9v5+8WBu+bhEY4fnfP87b
0SRhNdoZRuM61Td06E3IOlPq0zOVndvcGHynJyhTRvmB/oE3XI/NbV2n4sGdKcMqx/GuU8lZjOB1
PQc7QLurI/udLWToVxUaJkBJ+J+T2JYzz3S2dMgHVrMeEjjkZt3rvuO2e9zsn0n4dWsi5k+6E9Ub
tBT4fwJhMyvWQ42qf5AVkKY2KHYyUTsdEmGmU+ibO1+mLL9HUj92JD3mJjvWnX52qvLsNrq3a4cJ
8/IU7/UxsnBMxoxfuKAjM9mFvP38RjR35tQBtonso4g8PtdGKJDXoSQnanxkB2iyFu9qngX92mR7
hmazsN7j9NJX81XUJId0sHYW2p8fZ/UhKKBOdi6JmtyF0EEA0wqrcxay5HYK/TpmQZh1+Z73Gip7
RUitnJptmajrNMnuEE7CVV/0mW8XWrxm37sKlLqJDSxQ+QyOiU7yR1aKNOuO8Sc4uae452EaeUBd
NW/TtF5CRTtZ5dbKlC9JPvm5AT7RM/cwyS6Axb6UnnMWNTGA0NO+BNKeV5VOwr9rxlVKS+cB8jFn
WXuOHfuDLrKtEKDbiT28TLkuaRSe0o0ZhdcszKVfkJhCw0/cPbmk7old93CCi6wuGcnZX8fIP11C
/Wg3+zqI2Mig5JKJqbnmz+6YZFbDqOhhvgq62DeSo9K7vxAnfrx68p/EySMNNl0W4SYawn/aQBn2
XEBFD8OrzE7Ybl/HXbyPqzsF/jpR8CDseuslm7/4AH71pv5+4f337/qTLNZVoJVMQ9MuYiruLV03
VsC773krfghNZg9W9wnkH+vZDoxD35Fl7kfsDFkxLOGouFwXav5Qas6ZqxuO4HyxiAzysxuZDnSr
5JF18uCH6XRyMvPFpozjKDPuBTxNRQk6zSk2Lo2bvqzQWJ1img7d6Bify4ICLXPOjU0cx6+Y/OhA
ExAYOYEnv3Vtsabl5L4zF2+Hlj52Ya8f8pBF3dR+Ici456X00Ci1teF7kyVK9oaItE3CzXKVDUWx
4+4m1jUhM18NFonNeLzTo4JQdwzK2AhtSAmo6k3/XjdAQJoqPiiTirDBfBhnBH+RHq2WrINKGdbi
wMjWSUtDoN1Zh3ROTvpAjnsKdJ9WBeT7IOWUFc+9wGgQJ/nFjcZdoaDcBTNPMFyENszXETUWZZK7
q2pOXF9lwaUi+xnSsCJLLBpuON5HFNKsxkp76FpuhIZB1cEMF0OrSFzLrvxkh/VFify2rmgnb8eW
lfuxt4iH9JYBt8nlRJTysZii/RiQTuxVd1XZvCPJUx8UC34UCkrEIRLXlrkLK/Ps4IP4i8ftr57x
ZRD/Tu8b2DD3+szTlpyLm/BK2+JueKKl74AV5uzy6lm/6sPKOspL8XH4FW3+p5/gpTjgO23n26Pu
GIa0dZ1owvKH++6byypyabw2tQuNIavirK+rLX0jmCWenS2lVY/X2vr83G+wk/af+B/Z1XQWq2O8
Da6oi83/4k/z44vv1z+MIRgvXcPmGvUzoGaC+mVKudTvipvKoJlWPKu/GRL4eqJ8/z1+suTCs0EC
ibKIl+tbqOg5vP3Pv84//DvgWEQyM+GRGT/9NvMRPw7kYF7e2k0NnFhZzJy/nlD/XN8lv40/v74z
zbyp+FP2B3d3vu63uzvmDFtnbyK5bDvUr/7uKKVgAwAQSRzus3AxTL7q290dswcCK/UbHl9IHIfP
wTc1Vf8FNRDoBY/Ov7pmf/Jp/Cffxh9Md4Zl8s5Y7taEfrylr+P7TxyTlCpGrZ4uowHZYStTbKOX
yqFg9V3MvO64hbaiZVNqkMKf96WdpkOB9SBhG2Sb6V2gk41zIR7vleydaYU2+YqrqlmXXvCJNtd7
aET5DeSlCIS3rW9xyULpNEVzKW37Parg96S5zvFYNNTBdJ2xcXDGbWDZcH/NpXWeyacdtCJrsU6Q
DWeusiFlJHQqX1XMq2zmvDO8gvQERbjwm2qYtsrCGQBaCqI6TalrilkXxqT0rsx+OqZWfHbLNjjl
cZZuU80jSQe/2sWnYGegl6xpO3oOifLFIlmzL1/L1MGPOrJdrF2uG8LUXjI2YZU9Fkcn6h6kDb4y
yMlFkr+s1qE3aVcqsV9RGEm6lI5Ehkve5yT5SMgSBc7sZX4YAic4V2YyPZItxoGrokvYGOWhi5K3
Npz1FywEcBcggWx7O6t9p8mYpKalsij0CrrHtEBu7EFoR7MaxdmKi3YXU+yxClVnn5Xj3LpZmNyz
V6fdZ3rQKrA/pVmYOwEz1bEJiVM0W6xRtm1W/Thi5pS8qykGgJBTqp1l1EFqn1RkvfRVCOBCGOmp
DZDWd2GuTVgOZkWy5Trid9fTfBJfJon/AV6PDMIatLvAG0sdeXtduR4RF457ilOwNi4NVh11Ksih
OCKXjpX4a91KObsYej1+CFAE8faSCaX/rJdeetbBc8gwRxbo2Xn6Xz+0/5xeC7Dnz0+v+7Io80//
fnYtX/Xt7CIpyCIW5ZGXHyXUPyUFLYNJ2F4SdF8RzL+dXe4viz+dpbEjTbJIy3/w29nFJshha4OS
aTOjC/tv1VrDG/1xWliSfN7CjibM5xqM/T+N42nBEjcl3n6tf1WvrUXINhZJW4H97k1EOJEH6Z7s
GbYF6T0FbY9eBy/Ytyznc5tn904+eCtuv37Xtlykqvhzp4lD09dnrODhWln4xDEXIMTg1kkN+RFX
E4wyltSnvK4PABvWxhxfw6Y55CyOaKxaSdV46y7AGN9PMCwRR/dFnGzmQfMdo/XbwS7XpTbf0PAW
rPGA3RFCowXQIVScFpQTahKdXnvQolix5WDIqWPS5oF9wlGWxdPHIVxW71Zy16hErBQuJplbp1wA
vUlm5mZi5BdRmUtxgIn9iSoiq7rqi+7kNsGXyuP6RXwFTFJ6iwUKI1MRXAasEIAjtBciepvG1eUn
NcHzGKhDnhv1FOviSwiPesWipoZ6lD0iYcKqpb2HCmWAHe5lykKaj/k7BCK9ULD7qUnKZtsHabwh
eMDsrNfWrrCCQ0A78kq5+SOLueumGz6yW0ZVdPTz6Na71uQ67+V5seqpRHLBwdWBdZ3CvlgtGmA3
SIGp13tKbG/bDRZL6GgnWhePvZvcFmAfoHySwG/m89C4YjME1Yc4ssAT6HUC4RdLQYOdN03bD9Y8
nAbWG6u2yd9LV11ocA/PURoSujEjv2jtzdAAeZOtvm8CBqemDh/0TB3QkulEclrvONgdOpAdfSlC
5z4Mph0S5LjJy/w4lbpcdYb2NprVabbpVknaZ/5/+6LEg272rguqO26ws7c3xNSzMwLcg32GIIWR
y4HJyefJj4wgAoravOey3ieO2tmsvEDYqHDLv0j3Rb2pSs5okfY9xQ7NvezVLrHSF3OSO2L72Olc
Cyw4IZC2LE2/KHICnhEG8Cbdmi08QTaDmylyqpVpeO46ndUFnxVSYR7QZTUZOz0sT6llcl1cGDps
Q810OCYRmP5ITVeK1iVhBqd2xgCO4cuZXukhV89AYQw/Cj0uSnZZOHd6hTsVwQ3s1a2ovPqumRZS
qATD3xqCF3Bkrzo9eE/D8S2wKH2PICsWonaOTjE+Nbb63KZoK1XJayv0dlqU3soqO7iIsGvGKr8a
HaAkTo+0ItTWtdoriQ7NX67a1I6D4W5M9mU7mpsoMGmqyJx5nVB1vuZO5rcUdxr29AkkHy/48aMb
sOL1pkd+0QhyCS7QWDsXdbSLUu1QeOBbKI8Ik8z3tGCPdIK0WoCOccE7mDO8qfZZ1gog0xT6Og7R
Hn2HuSk5O3GdghpCeh6d3QBpOq9yfiFPrUp209htO3cAodEdiMmGEI4df0LMjWLvQ47hddWo6NxX
VNSDxwYjk9t0BKbF3mNdDfn7tRl4qeO8n0aoHynbWVoXL2aXHAa1XIoAgnHdHfjdLighwsCNeu1U
f40i7DeJ+SDiEGvXpM4MADae2mJjpnwKBRz4epTeMhHeW13wVtssc70+P7ReSCuX0+9pbBnXWm3t
TQNCh5hpc0VpSmKLWYpbemR2l8EpTnBvMGym2doM3ZfM6FatjcjLHlRNYuc53Q1A62ehV4fAHLe4
Cp0NOhfn31hoq8ou74zOa9fxrK5NgYAfJvulCBHY51Vgz9hrFkZju3C+jjiA4VBai/9x8udZ39q2
2hiaPACV7v2G/nhOYQMCRXsSxbwUt+M0nMC+V+JzFjQ6VOfuo0H/6HpgD3WQTnhDafKqCsNbObtn
z6VWZp5BjduosgKRGRYyPIcqTDZwUjyUbavbkdm7MTJtm2bTje6574Y+gxRneQKwu1GuBhS7Rq9k
Lpra6qZ13Mcx7uiXt2g2HXMLc2KiZx9SI5j8sOrfk6Y7RaN4yrriALDrHHlkSfA0wrPSIc+rdyuc
Nl0nqyvkYvy682Mq9XlFSuyJE3jTgBVTWkAxkfBeNFs9j/V4IuNNO0GXO6iH7rqV4HvpPopG6zoc
wpPZthzj5nQIao8dvgxq8gl206RPfaYNqS8h+2+RyIe1O7qbTDDJWSyXqiGf/bGMvtBbQqN0X45+
o+Qnb56vpUIlYlwI6WSRW2DjCbWn9btDsGHttemljZk8u2ksGETj5zLRb8pcv6NNYVj1pbkao+bV
AnfdCljJ2nTd2PTH6ZxfyiGBUVjF4zhpTzBkHrIYn/NQGD7eatgt03Ddpygz5uzezwUmg6xLulsF
Bn9j0fSwN5ckjx30OZgRafTRX8gH+mJE+V23W4wqtmQvCqVQutzxneVu/p2Y0dTY5SfP8K7lfb76
ACX2hv6WVb72Pj3ccf05xpty3e7js7Ub/GiP4ny06JK9RLt/BtxfiRj/MVZxg0b+6Q8W60vw/LcB
lxCE5xkMubidPDSe3y/nlJYwXBKRFNzOuR7/fjknOUHhJPto0yEo+mve4tuA62GdcnSSzvrCt1yi
oH/jcs6F/+cnCBMO4GT+FMCaXePntm1U9KLgJACbkEER3oN7ZSPm1uklwctszs2tG83PQROsaFvK
dgPUJDZJzSqnz8Aqw50XZDic0/FRtRW4+lLdUjq08+jp6IJwTTobbF/jz92eEOVLGRIHCLeRG17L
xAsvZdy4a3BlHrYP0F4pRha2NPOXzISXPnVYeMzAfXFMQhQuXWFbc2hp1M33g26EvmH1N/HQGpua
JQX/XJzmHtqdTtTNFFR0dU72VGgkHHMl3uKqeR9m/Qv90hRjdtjElT7e5+5IzdZovsA3e6ZiwCaF
t7QbUAnQz5Rv2dN00hAgbMn2AZ7+jMcl8Uni8i8GzbsV0JvWz82r6qUvdZhBiR4vpAmS9XnEAnMu
jVeRfrCmG7o7FnTkGne02tuJF8HMbJUPnHIyGcrFmBPNRMz1K2MaDqrhpftJxibTUzzCo46KHlbQ
WKR7pO96kyVwt1pzrDYigD8lhDdu8DWxJplwuhs6V1gaXxQblHBob8EbceGeM3XbY+3ddRUopcrJ
+FHBaubNT89BVCfhKi+YHvLa/lDOippoRs2NqWg759WWbtousnjplYQTvcDa2c4w3fJsmitSvsIn
E8tMZdOalUHeCFIzvgSWSHyCqw1uKrIOo6KQqjAzkPw1VS1ovEawk2n3rns0ksPipDw6pZaQKrXP
Pdo+ZiyPBVwPeh4ECTckqEF7jINvnlZaq64ehk1R8agqzzzwskYLspLshimQwi3cEJgIpnjjScQI
MzNo1usba+dG9RsNOd7OWkwVtdKyG2cuwyM/uXmVBBCEXJozWLHFYk8Yl5+NgF1WoCIQimlT5UvH
SXmctOJzNTGUlQ2dUo211FG7mjoNvKtP4QCzw4tgDi0z6a5q7YyumchcBY31HnMTXplTREGMaeyA
JmqANtlv7BKPXlLluuZngSmKovKcmxBhXHrHlM3wYPZ0OmDd509Z2DSWdNlnPnPhUSW62A9Mau0m
YpcpNqPhjluv5075nmH/3rtS6relBN+BraZBXJkZ1YwKJqsYHzJNhn4mMmRwg/r5MqufJo18jZiD
xfs3lJuGPlKrb16oHHjOGG4AjmBCj6iJxJnLWJQIwjfOlDzJorxJ6ib+OHkz2+4ojM5T59J7RmII
oOAt0pFLRDBj8Vo49YGIzBsAs4+dCLZD6JKe9LT3IWkboinxi6Elx8zMPowIdDuj0aifydVyiHgX
fhSHDs2m5HOqdTwXbe4+4Cu4qWV0rHhVAmktrxxhvuq298w0MfoYym7amWCmq9S+nJv7ZvYeWQ8H
G9HS6Vt3RFwgbLPBiacdoxTRsoLUk5sXJ6rG18qN7kKhcC6EAUjLzKhPFnUjY5JQNVjoe9rAjqkT
XLvGcNFGejYpZnL5pMSKbpSRzoQ4o82eqOjnxC2Kj3baJvvQ6GMEys5YjbVnHm3SeBQiUUtiWvln
r2HhlgsSSrZR35SDds9kNOwS9K9jWHR8lOlL2KTT4PJH0oDLaC153pEzKSiH8DaXHm2zfFxuu+XD
MwvSYmr5pm1Fn0gSxN5OsMq6y0JV+a7OqMcJ0+2ahHIhzRq9XWXKaTMnkctHmzoNETjTbuymZBM0
seHHDrAWb05gdSrrnXvW7KfmfCDcfC3ItOZGcra6ccn4Cn1nDEa2IYMabFNzkV7x/u8yiiR8EH7l
XrdHa1k7reKIzvMgjvWdbowc9bS07aOcTy13imX1ztXOjhYqa8UpJepAkmrgb2qp3trTqR6uOiqK
dhRARlwsiQ/VYRuuyR6RB3KGf+1n/9HydGT5P9fyLmh5/67kLV/zbdDBQcgUw2SCMsdEs3Rpf+Na
SO8XBlQinNgASSvQyv2dkuewMRJwvs2vVWvfKXnO160GXWn2/4L5ZXiLUvfDqMxGAxlRkke1mZid
n5S8ZubV2VmdfRUaBPjpYqImhTx3VJs+xUn9TFo56HAdaOgtGUzawCkvk6BKa9PFCSvw1hLZxe1i
kS/dMHwPQJac4OaGGy9tAJsQixYdifNgZTQqtHx4niETa5U/i5A8JAKU5lWHxlTklDih7RGpxCFK
FWl0qDgWCaJuLJ510eG4gEDbFg70yKYHWtzjk1AxBZ1dqDWQm8RDUugXVfBqKaFkBJO4KybOGyk5
t0r61KoyPxV1cJbD+ETrGNYMBzZXVUGorA5ZHmJbDuFUxHYSQ0QEdp2NDgB8l1cPtGW8H+P8nDve
DfjSjtZR2tS6hnzeWBB2pKPIhwl7VMX0RV9aAuKu/9COFu/pMGPhISyfF88NV+GJ0rYe20fnsVDu
63ZtOPPo07yU4WDnojxZnKqu0Df4vqjh6mS9Htz+C+1Qp0yjEKhbyoXzQH4ZRyJyndVscUTuY4uY
HCuHc+Lq1TpW6glzZL5O6uHcdGkHjQT0P4PXvWaKbe10OhTagOoxAKeBCqqDiQC3Gs3yKtHLu7oe
1oFTnWKucBHGdTRBVkBOvZl4w1Jfhc0+6n00pFWfpX4WgQ9gU3E0gxzkBEMKzj/i6+2YrOiaS7fu
5ICxNAglauTyKDrFk4RHT4bhM1U8yRrnfbyjnpW2Jju8GR3sOXjA17Juj31HBVUt1HNYkoGZU+s0
TfK+DceNPVIdklDslxbJXVj059iCc+vEcFntOd4EDDOrykQsUmkQrQWIL+oZHJIGxluZyWYvK1zY
VlFeWZL9TUTkrDDSR4bYp5xXGGivay2qcJR7TH9m5iWE5pJtkuVPYIL9ZVDqhPEiqq704Zzu+iG7
H1PrUIQ1Xc1BRE7ZxdI0NUnPg65HJ/xWEmffLPbRMDwXKOpMxe3zGMDVNZsHs2FlFiqYxpF3nTQW
kTqmBKv9PMJixcc6DASTqWqqU4kBF4yM0Xb3kJLTVZlIijan8BA2Zriv2/oOpNlL6oYfa6uJsUJR
q+Ulcb0hySbXpuge+1jYLPQwkZZ2dKRY+Cgc71Mxg+sQYa2v9VLeY8PZxsp8qBqx04zyZhDxsBpj
495kdeq7JLpR9zRI2+YldirqiNJ4O8bZM6NcsSvk9CkP53GfTiEITiLCWuR660JLC5/6lHJLKfIL
/XKUqS3G1myc3ZMnJhhjkpJFMatzbNOkPcAJCfTM3Cz7DAqwIeM20zU4mTdFNGpVqvqqcpzHsg6i
IzoHiXI5vtHMe5eYjIg2e1SoyFx9mnl6H3rWbozNhR+Eurlm6nPXVbP4Eh28OkHW3WO/4dHBak1z
n1byAAB6qafSWptltEch/WRHbcFytCg2o+1dOqu+MK6+pe1o+OXIS1WlZLgt4i+s/d/VYJ6gx+/Z
Q7wUTqhv7KiGYotTthrlSaCXbd1R6329s+/MUTcPYbtEDBKOEqknF4l/cZqjHfPDCev3baJYmmbJ
IWrr+yCiam30Gr8YIEiUwbWtVQ+VGxFRn4i+iii0cfdy7tHIyic3Y61bdsugVD4XJWKlMwDNhfi8
soJBbQa8nFT/DE9eQ59vVzLZ9wVdbUWcUtPQGnwcx23adQLHnFFy2dJxtU7Rsz68DQpAhWOh6RRA
0CM7fxkXKroEj86dWcdVWj6pRQRnVn3STestWpjqU+oAqAezLpry1QO7PoNf7yUPQwWQvVrI7Bhh
iLwvtHa5cNvr3LnpoUGHBl1bWjhoGLz7KwvYO39VzKzR9ZxDgYcHgCdoIcPPmQOGD1Z8REFtt9Dj
KasZD+YClK+CD5GDkVCBms8JPNKQC31eLhx6op+PxkKmtxdG/YChzWt+dbH9MyUt6Yc/n5IOxfQH
U9LyNb9NSRY5C/Aa7Ce/zTu/TUkukQnxe7qNAeqbV2MZhUxPZ6hgIepRPfj7vtP6xYGjymijw95h
tPpb+07yGT9NSXRuwUQlYcfG0zAsg3nse0HRiLJKcl9vr/LUxpZeZjGKa05+53bSCbmh9XhRMNu4
L3sR0XncoxJYbLDkpqSprRjW5hST46rduJ6u6Z63ADO77NF41cvRrjuCUVlk7CQBpgXlbWZxA8k+
SPDgaoFXFnxK7M68cbrOU4XviKo3T6NlDc0IpahOmk84pRWzWks5O3rK+OvDKymS2CVN5V2iWkR0
dC635mEwH+uyokedAumajweXrDQBTFEP/Slm+7ilpqS4crK0u5N2OnwWhWVVhz6Jws+9qUZOYZEv
J3QJCKEMrhKNRRV179HeNqlCXbmDMdEapgcHgOjDhZ3KcCVpt/YZM97LgbKV1ajr6pMb00Satabe
YRm3qEq3kvYBdyDk7qiwXt0583Z9lA3wI0LucHO8y5AH7rjOZ9zn6SzJOkEHrCsxx1oo5wfDFuzG
hKJjsqMNy6wkAOmmyUFqGdSs8GuCZcmyhE7LZaXjeZH+kRqx+SaaOXhXqd7pn7mQWaeubsLDRIzi
g2E1BhKWDle/IvY+u3l33XXpKz/S4sCsLO9lEwscjkK4FxOQ5go8VnQ15SmK+2TFVxZot53nQXFL
Zs+9Yo1k7anPJc8+5QpfYzi9mkwyZyrBm6eOEtltg/S/BqChAx2SCDB2xNJw8rhkUyhr34KTYJHB
q/3GiHFFwtAuT2D4+xNrgiM0e+ZHV3O3tTWN74MZZXu3ysPjWMZA1CB+aZc4sMWREtiMFfLE7bFt
Ma3Uk0vTWkjPhznwFI0WFsnVrHvBMVOa/QQU47kUkX7WNbe65o8fbDUQTZem1Bd4khLXvKzGY+YO
ySGMIbiXWKuBNVTTXaTg2/XNwOwYd+OGC0WwbeqmCf1/pPavUvtyK/zzk/Wl+/wHTpLla76drKjp
CJ3c8HBqLC7EH4V2mw8FMSbsJJyWnMffTlZupoaH/WTZoRjwqL9zwRF7Y6kiPf7RV6Xd/VtCu/j5
ZOV7EFqG70iGzbIlgbgfTtasxeQ2lqO4bhOg9l6BiJoa2knXugUxIyuCsUO5LC09SgcC3PglEOG2
MY8L8gGpCeQHz7Z1VmruVqabLrg6m3mcIcQdq4uaNboWhIkW+Sp7mH56DigeAwgst+HgBe6W+VX4
VRzuuoX8C6UewghH5FCovRlHxQPRpm4NF/HVhk1SdtWjkmYFF49+YUzFr9nEOFU2lDT9D3tnstw4
liXRX2nrPdKAh3nRG4IzRZHUFJI2MIUGzPP48PV9oOzIioyOzLTY56asylQKShQB3Hfd/Th31u1I
byCNGUWYX4gGkoYwjLOiWwffGtxVO6gcuQbFXypaTUFVWhE1bV/sLnj1M8oJeFCocH3KaufkYFHg
MN604P/ObltrlH6E7iLVeWD4EkaMH1mGFygcAHKfPfpo1Kva1d+ayLqEZnXttCyTyzB5jIR+1xZu
uVRi8V4m5ggEOrjH/LWKiBR3FDAvsknboji+qVQ4kadh2nVpGFfjY0MRYpYHB25ddwTH7IU54Rip
hXpX2jFjFn+EloYUj91V7hHLfZEEFdCnm0eHNfnsDNcWlcmIZqhnJzW0ZehHl8jtmeKywRn2Uqq1
J/PyQ61LVN382pmiQy+LYKfHDccYt+ZOxCEfqy59S1gEY3q/yGWkS3vCYVQpCu6EnPmAJFybNsnW
KaAERnnjnFxRyk2aEznrLTJ5eeXi8avfRdVTCTPZwUXpEsbQyGQE7ZPrSoqPlMQuTSZWoS7DWLjX
aUigmaZYWvcSM1i2Zpas8zQv90FSnEIaA6lfdU6DUlBHZrnUFsvigyZwHWd5se9qcU3rAXFIHXBz
GxmsITrGcc1UNvEI9qjXumerDB+ShMN53bkeeMp8OYmQ9y3gzU3zeK6cIDgfYWzyi6+sJzYdOf+9
kSsXzSk/jBD5Gbd8V0E7yhOr9tS21nc4Fnelle3H1lwZgX6SWnIydHDDbor7QS3iL+rg35skGrdt
4hbwmmxEqsDkxxZXfikIOjpdt6gqDkydqt5kst2rQ7SpkvgmAu9DRdrToNZfyegX+DO1Zimb/tqp
qaWo50bxQs2PJnlIGhSVPacPY2OpVCzSGpEssesQb9FeaayhOK2VX0qdoEivlXTesjEoWtbXcux3
Cft4/ETq9ZAOX0Pea3a+pe/lVsTJXJSPel4eXTR2yynWcag3GEj911Yd1nYNIUxJySSx2ikImXeE
D5PKk1CMvFyab+1sXaoEyXYnvqp8+DlRmREOF2ITh82zE7OrzfJ7LZkeNKW58PPhtjQoVxzcYz0S
/eIHXgZTD5cLJ5CDcwWUkHrTuPqzbN3yFPDI9SL6o/dKIpVdkQ0gR/voqk+qW6NT3sMyuXGs3KRe
BVQO9h/6nHybf4WwH5MBtW61X3XLWFfSXZZx8FNZniFPUketNYT5CzuBjsqHWIIF9di3nfAaYA4Z
inTph9CixmC8oH7gqDNVZigt9v59zn4+ZzUOD3/9nD1EefATRXv+pm8PWra5s2PTJZhgCSgcfOnb
EUaovxGeVi3UbsoVBG6Eb89Z67c5zQRSA/HUMj+3w98E7fkEw0PZFtjX57aIXzrB2H/OluCIQGvn
36NEwrAsXTV+WPNqvt7KpLTN65Cy9fpeuGGaUZIiM+7KodLZeK4aER0bJ9EfS1h+1UYd0otKMTsZ
9zSjz2lsI6+1VZ+qFsdqql1W1DTL2mAUaDRrYn3VNP4eZYNSIJrFp+RSUM6INwWZOHweB9GCINOv
pZVXS2NudJzmHtOgCr8iLqJrzr2PmPLDhVQVEBzYefKYz7pIJHJwcxtq/iNDNwWSBeANydJxLpZM
UpZ42dw2ibZH19wy5F+1vKKDrHk0FGltZRhvIyPy18JPB6QtStL9vC+/inh6DnpqYlsr8z2tzNfN
CEuOxfGWbO4Wq1C7GOv8q6pjFEsVEAw0Gd1HgfIqjmUuj4WRLEeQAdxWJ5BgqX+nVc4lgy3syn4T
Txette6Hvvli0QVL3z0PoH8vxN8vRD6af3Mhvtc519wn5Hz39j//rf3xPX9chyAbNEtjmMRD8v+u
Q2Q+jdTF72PtdwMvV9snQ1OD8c1V9/3Aa3AhMvKq1BLjKpqv0V9wlnzqKX/SWzC74Oeei7fhN5if
xpPvrEm2VgaqFk7ttc2gtEighOPQnHP8dmW4GzCxL9gPhnU1y5KanECr7LPG6WYzSCTip0hQ6ncK
/aKrdkbUkGbDaUB/cKmYnX0uIRMO53wor0HjRHe0cAkXTOdkr+Nm9qykYfysA3O4yFwGm1L1WVAE
PDx8TAjzTkMYU7huP49nFQAFiM++knFpa62dNk8ZITsIdmM6CQq99M5CT12LfIy0fZYNU3EbTJio
gWr6MXTBIkDxJ66LNkpz2Ni31hK8TrzhwVithlmuxCKmrYaxmjYq48sDrKCOdb4rrWmlNx1OTilc
JPW0062KYIyvUHhllAoNiOVkHTvZhMWyFIV1G2E3pMnYLqkYyyVrQybf9jbR09pdWUaZnkbEK7Gp
bP63DJricRpmK01ZBUnMjBkW9o66U139N531f5cbT7C/vkSvXpL3n1yifM+3S/Qz3aBy6MPJxRUw
O7z+eFTq+MIIPIC00qHgf5/MwuGFTIkmivmLjf/8GP32rHR+s1j2cT1xktTxNbi/coly+P1h28fz
1qQ7AHYLvy/S3fz1765RMkl8GKoc/3ufBgcqvSv/dhyTvNpC4Ek2A7gYWuWMwKvARAbgUXZGDX/U
BLi0TXyQqZkUcNoGlYRTnDrqejYKLDC1saOnrs8xcWgMMSv6JMj3ihubR3vyKy4sdW1ljOIwCdfu
5LybcU/cUtKNjHlqyjwLmEY+Doc4T9eKQ6KCO0J30/bNTvSj9ZyOhNCbOHRXA/V4qVpsJ73cDCK4
qbQc8goesmUjgHzmWb1tJ+3abdx3qpIvke6cpsrZIYvc0ra7UYrmUQmc8pD7xaEK3V0dGtFOc4fH
FAuBo4S0CZj3QeSMC4JtIftDvWQTFjyxidrpTkmY2H/S3fRlrkii2a3yoar0w6YJOZUiEZHPBZha
1xwp7cI9VDpyTlKLQ9Kk1xXYGKoDA5AXxksdtqd2yj9a3mjOeIU3FQMt5n65z+zEZhJut6ZLVQ7a
oKsJm6NdjqlpbjoodeQ2W+4nX3l06vBCPNmnNz7edQEaS2U3Ew9qJhVnblwFCOPFbBnYPj6hWW3Y
sRWeqRPaDyQejKAMX5us56yKlWaJurWxFFgUZNc2mSOu8xJj29CmISSM+qH0Q2Ol1x8dXIWtlVgu
FiXgYQHnYB5XH8qIKAfK+VSlHF6nCKxnb1d3Dv7kK8VNt2BXLmnQbN0en5pBziNuS9szg5zRXg3k
Mwrx3gmMN5vNJJIe7TEgM58MDtBUTj+P6nSpIGPidHsaSggxdRt+YE2h8XdI3FXZxNcZRRVJM7p0
dmoND4/hfXSw1yuaiRG5DNax6F5liH2OLfja7pNXyD58Pa4pLhWR1XztcTlcsXsmh5Z1RHJaeNHp
cjClseH3p35ZaiMxRTPiUNtnNamP1rEpYibRy19K2FBgUezSRTK/4xM6ExajdolXK1q7BGYlx22F
g3fJIkL26mniYrhIJ7YJszvDpWRBC1JB7HU91vG1u+D6+Z4pKpVTHKDJ26NaULLQo1GblZ6g5kl1
ZejRuMuIwS3Mqoj2jjNOPGrNYUVraAtjGkiK2vfrgWpRRw1OhIsgegrtqHdVvrBd9yIbPNRNGl9X
Fr4BoX1hhS9vaw30Qq7FiN1V1px1EnKaX5crBwQNmwQ9oaAR2wC+bmySJGl0FvJI+xjgMuESSspV
uI5D11+jX63GoHAXuKyPiaCDwgXm2xFNxFoF3YbIyte6UzYaxdqLXq93uYVLyjCdvQKwaY/FwFkW
AG2wB+b1s2CUWJiUnq/I/hMsmGdZGi4oV2VrsVbKlF7udlJfK008xlnmr10wUquhHpxNPo3clZLU
3BQZu55GiVUe01WBKjn/fX0r4zjsA90PN+kwXEdzJGWYIPiQUQkHfmtVMdca6RWNFEs0x1mKz2AL
CZdZwfHGkNCL7nT8hbCRl6y2gf3IdUZCJjQjiAOzXkg79YG6A5oHSnUTkatRydd05GymOXCTplg+
QqTLnBN4M4dyZIdhjT7bjV+WW2AZHyiFgGp4eCxLBcLNHO4RR4ekT/YZ+Qn7cz6HgAojckkNEQwK
KhUnbvuF08l6IDmEXvg+zlGilExRO4eLAg2UE+XK/w7xnwP5/Nz+6wmBTiBagrz0pf7J8nr+1j8G
Be03ILiabVrmtzD2H4MCXYoqZTx8vvGEfyYkvx2qkQWxNOkq6t+nu/w785T1G4ASXbgWvvLft+G/
MMsbcyvAD+YpMtmuit/cNHm1+dTw/aBga4HGx9EsTsKp+YzNuWVtkJJ+jjxbiDHQCBsn61SXuzyj
eZpym/ApoyUmo83BoWSCg/K1zSQfQ/uaFKyXBl2yaWwXV+lcOcOI8CBV49FxWVE7jZSwXtoVBKA7
q/ZPsdrCh/msryli+zIGOh4lIh6lukqhgBRLx+RgoI3q9RRGPcUWRr8JufNCWHJoLVJbLhrNxdNY
oy0FcgmrHWQllfcUUbJxt4YM7dG4HiV3LslJBFJNYwLPwtzU9+o9FCCsL3LFyb5Ztq6ReJbKSIOk
+Wrxe7Lh4t+t3Hn316ekmsZhPnrHr27kOivpswzlsk0WqQx3U274u7TkNE5TwKrIwTzSc5weTFMZ
rvyIxTdRkdwz4OtEFRIjbHaN+rT4hM7kmbNLdZgQoqzuro4qbLFJdY8P7VRWs/SnD6ClomqtV35H
zpRBKFcgELOUrjwodtTcVN2xLGMUUVmk66lXNmVt7s1c4ATqKQObWxKpBl4AkdraOnFGmURvvaYf
g3y6nkTWY81hIOzimvGIAE9XdIskKq+60OGMoQoK3tjxKtPYegWR/EVT8MAo25hUjLCIFlmXxGcU
0XEjLMUUrCo2g2v2yq+VIHcu1OZa6HjOK2VTILxmWXTS0u6gs1j2MqM5VD2fGb9rzlVktQsn4a1R
e9mtDJ7aTY4bL+4ghetH2wy527qF4lXUxW4TLV8mpbKpY4U+uqI5TgmPCRPjiNc51o2wxNEtUxDm
sh9ROwzbE6R+FzpC7CI1qFWIE9UGGOOvmqC5G90xXIOkPwaG/yyrnk5cxdmQKLeWZqs+GFX1HOuV
vdTSeCkrjoJOFFywbl9pY7acgvG6atw39sf0UPUN72Fj7YIK+QBA3lXbNaeoAE9+KQo7nd7lmCZb
O8uWblI+YI4n7ksAjkJ445h3M261dZ+KRL1pzfrNKaVX8wwvp2Ad4BEvm2Hvtsq6VgVwsPA6Kor9
GDfXnH7PfZ4ky6oJO8y43bCzfPNjspQOwNDAFjvqfJuJLO+nW2FNx6CqOWcSIl4HoAYXg27xusam
TKnMsqdmJe0QB7p+rs2nBj85o5J7n7s8UOLgUAscbllrggfQFwECNImyrd/jsJJmd+Fmt6iHdimE
WS4w/PHpq/yz3rScG3QCu06LChXdcBbyfBncTiVPbKtmHAjHiNp0kHj8uXBhuYGmr2sJO0FPrE0a
RLjDUgyXQoSEYCX2dqXjk5OXGkdn7KHoQNkZU9KjbeQfRa2+MdsmuJ/SB4bqK1NLZlt2aSzNeVpX
a1hogG6/Op1Ca1ECvHF0uE2o6pkYLheDXWknloHv7B7GlToN712jkMCyxhuyHeVOz/tnrcjWlaE+
ysg+Oin8prnmgaYQ4AVGY2CuDr7ko9stoV6sS0duer9YqmV9dqP0oFKsNTW0u5oVDgR7xntZyRZz
5RxUM+8d9D1eufcQOe801RSbEOgqKU6tpGMrHleVIo4jl8GZ88eNKZstDq6IMq4eR1MqFmKepSC+
C/T82bgALr9NGsNzo+olrGgJaSUCOXnsleYUH4H7GpX2DTi9m4T3hOeAxmo+R1tPnXPWijV8Jf6K
/Vyn4CNW9dMQeUMfb8KqsqEepUApW+WNc+TKcZI5Ih/sUzO4RoZKFlYX9QdD0fIVf1C5NcV4M+sQ
WlZCB0QLXXYOgdQR71Pn1MEOKdXzlWXi6IeQaJPXpfYzrWCwczPGnBEpIyDrqYTVrYj8DfWKNFGE
VrdiicMZKmheE0HKWmn0TW3a06KvKoQzJiQhytvOHK/Ah8SeolebjiISMymvh4JIcKkNVK2MN6os
VuxK5Zrl3KGo3K2iKcNdOMluPXTiPXFBCjUAMjKqE+DtUvzy7zz1+4KTFcRfz1PHl7f3n41SGt/1
bZRCngCoxLCkEZKb9xvf7VyoXjSYogiD6YLQG1/6zygF8puKRZg4sMc/sePfdi7Wb/a8a3H4Bh1D
wK/tXAyLKe+HUQrnF/VCQCqA9zvzD/H9KKWommy4cIKT72bgXfEltw0CfyprotbplzIhkgyZezlF
cm9jdNnkWQDKrtuqmvZuKD0uadfEUTOQebLTwwgEZzG5MSU6vUpyVrnM/LJFW1Bc4WQpZXAcPEl9
uCsjKl+1roxBp3XXbUfpsNY/WWn2oeE5NAU8Nwo6ny03XSrANB9A26nbHJphkA2+Z/smJs5WK9Zd
B+kp4v4aaOKJqy5fVpHBp103muWgWMYanvlHPzTv7F8pn2dTsnIKhg6oo7dFEjK+5S+TOjwoskLP
s4Ke6BaE00RhFLEUc9lZIe+AG+JntYuvjhm/hnZ9DU8bzXrgV+xq4mhNqZ2VFGtxSoqwnA5xESFG
1KYKQVaczTg+q7k+LqIobTGVt6OXEn7csCKFY9AMr34TY8nSaFVMQmJzU2gitKjxXd/LMyILM4oK
C6jR8VdSAXTbZD4oSu2CPbnGGm0wL7rTIUzdfdiOuO1DFSdFSHyn7XeBVsYQSzn9IYhgr+1MLOHk
HOFlq9N9kxTcxAqTUEFrxyxcWn3PAj1eu8n4pvRS7oM+ZK7JVU7hWewQoXGUVRnoV1al7SrDKTkE
+v5FKjltO5QDrWWABuqmGQUfSmR5eZeHl8JihJrLYyIbqGP1LNkjb5pAB1ZUhthaAzuCi2msbeQa
Nt+93Fq5T+d0RWOOnTPsBNlr64aZR+CNcIBCZ1+aA4sbM/8ZH/HOCuryGCWlXPKPSqJlVCNH+bgk
n7+KfI3JPbeavRDVDSBUCBMs7ZbxaPKB7BDmVNpDtzWEcC/opteuVhkSmw5cpWLgfEjyGW1S2Nso
FljKpXNkreMundF6r8ueMc3VrvOBZ7/e8lGGcTougz5K12UAp5kiw1tylM+9PRcQwhRdNI6dbttm
pJcnGG4VOcvQUFCZY/HUZGh8bCbZ1nQ9H2PXBjHAmqwyUmOrZOaTG4uv0D83tjKCqxibo0Keg/eZ
kIAxYGIIq6/SNWansc3IlzeudWFD1xp7bUImBVg5e4bH2T2sD+/M/19GmBVrAaQemDBOY4nlWM7e
Y3vInmCiN0vfYRb0Z4cyxraHcfYsW7N7eYwU/IazAWd2NgNP+OLMXucB0zPOcrZQsw9amx3ROK4r
Ary4pKWZ303YpmuLEX32UePL+IgwVgs93OXCOdA5cJkwXk8YsAVG7FAJj+rszC4kQSuymsYuq40b
tbB6UnQ4uYE1HJzZ2w3Sa0dLFG7vhB/cDbYAIg6EJT8sbOEQauZbE53efib3tMW/iBl6WGmYoqux
JWgie2sfTS3O8GD0O4+xpv1CoKAv1mNYGkQxlLq41YeueSjGcYDUK0rmA7Xp6y3sBPMZY4q5b5sy
Dc5pkAbOrq0U49kHG+8fY5PFdeYm7bJz/S9aaFgrcxR8NHzCbD6fl61RJP1qiFnLDHzuViZOJnAH
6lNndNsJUBguFGsbWpNPspF1yRAF+YIWh4sDZ2DMAbbQSDJ5LMvPqRWAnQTAtsrKiNtTkgo2UfFH
UNuXmoPpVqEGVCJebeltSz2b2Qnm8Vsm+4fKLKY1V/HG8RGE3I48qjqdXSM6dInENVGqL+BLMP/n
Azba7EYbtJTKSr+ZZ9uIz5p/kokqPNnST6fQaLLIOWUku7wQGMP0/MUuevLYoqsxFEVXURJ/FTiv
KN4laSGovZXlYnLMjW8YXIcpEVdboRV2vMrhaGc4jFh15hOHAfpCe+cUaGa07mX8YekhjSwtgFlm
RjuNVhrrzoXm4IVM+4qtZDbcZpM+YoHi7ldnWUDcpHQ4V7fZgng0chmSmjSyjd6rGiYxOn+FVd1E
seku09rGmVOdi0aNPFxm0NfZ8VahuDZCoiBmoKzNuqZTzc4fEquA4VBdKxaerEK1vsRO/xoPFoWt
Y3oYYDUsYJQefLrdzMpZtGV0kmaReaK19qXvs2+My3XkqruycZ6xsBHMUSGCWUoBKALtIsd26lGf
u8glQ6hp3xKQIeMkjHerd+v1MHGz1TmixHA5FizpCQPJcV1b9d5oHcJLEUf+qLZ3VA1yf0YdSHoI
N0p0m/rZS9XZO0EqO2nlVV8oD4nOn1p1qlXdFS23G4pwteA9dt2tORS7QuGrful8tH38VjbaIRP/
Ahy+CeZsqv5unqRH8CcSHt/0bZz8e0DZp1OenR2iCwr8f8ZJ5zdCjQh7BkaU/xP+vo2TxCQ1wyUi
qUP4NSgb+BUJDz3ux3ESR43rWga5En4K/sE/j5Pke8ARKOp00rPwodKZd1LQvXQBk/nWpmztVNZG
40NkSrJro/tAOA8NoKN5LnOtu9gxjnrR7oAArSg485ulbWcIFxG08fu0cLH1C/USKHm9a7kRutRK
x8pXwbZYcJaegSb2J9zE/OSczMSTZmafZDMFRZ15KEVn3Q4zIcXp5ck18fyPMzwlxM9ZgVORYFWw
t97rjEQLdSauqDXzBQiWMHL2Go2QEjRLPQHnmlktARW6JfAWbgsPom+gubRcWT6Al76sqbT08w85
s19CIDD+TIOhTVlnth1POEtfqpRhwfxkxwCRqWaaTKuCdHdHZxWo0GaY5IjtkcLAhK6ApxlGlkho
Jgets086AJsOkM1EmzfGBhvNB8aNJvpD3Zdfwhl+Y9hYGVP9kmDZw0b5kER4zGuAOW09rPuZoKP5
A8+K4kOo2rKvoxsXGgM6R3ZVBhmVuZKy6+6gFD1OUUZSVZFso3R4RhNcjoWiJO1CZydUNQqViqHl
0Qkulr6A2GuCtT0JyRZooq3B69uB2r6CDh63jkEKq9yjCKuunCSZvHws4UOo9msog32uI/O1fqwu
mpEmAUdwx9K3XVef/BR4o45QRaiirspFblldtmlNqiUXZprt9Lb2msY8tiORPr0QwgNTsTZU/2tC
g1ySjsrC6Bj88vElsAqipTyLgLkBpyejPYQINqGuvKisN726b7m3JsDWEWoBeTpHBPJ+5ahNtxZd
aF2lg05rY17fhg2bWtFSDqyJgLYF242XU02xN5lVqhcJ0aW9vXSY1jdgQdp1yuef+mmHm6qxo1zo
gcKSrdqJh6FneRGEjbpsG6HB9hXxVZkXjHekHVahCewDNJ6yyMfYIJCr+Bupaep1OeriQsko82nS
wzkp4UEH+ywhZjZW4gUKq4nEJ6MTkMLBc0mMSIfFcMvKUwMF4JlD/lU2xVr00WMRKMRpqFUMQv6e
cSrTE1RD8vjZ73iev2Qez/eA/1hxHBOIIXcbTD043Gf3zw9HzlIf+yRVXO2UZveJ8WZSAf9PYPSf
vITLaRt+DHIhhX44jr4/1coyGJsYq/Ypab52yVmWd7l79e/O43PnIf5WQzq+52/Fa/TT+P33CpKg
i0cj3kCSfiZf8qU/FCRj3ojgKTRh/RrU8fzxnPpsaBZ4Jl0+lxi+ZoPIt+cUaTSo1CppChYpv/KM
Mq3ZRvLnz58JGYC1B9ZPaJo/Mu1tzBROJgLlpCmp17XkGlRjeveHEBKdmYLqAdJH7QZL3Bnbp0Zl
fePOLD9h9wrwB3tm/AWfuD8XuXXZNVr9hZMSOEBTcWiugpfC3g7dNq5mLVc4Exv5gf/Gc3hjOyrW
p1nzxdgJt6RU3HWNIJzD9XwNKjRibNLluph146FDwe5nLbkt+P/qs77cJaJ+RjZBc57V54mywv2Q
2/s4rnXW4fXODHkYNojWnei+stYlWDrr2dzpcLfPdzGkbsqwXaZEcxW6BibyWQ/P6jhYIbmxgJSo
IsQDaFFOALZTu0jClcJUJwCzJmadfdJRTNqxOcdNrjNotulTP+vymkYQuYmQr5PrqArCJaPChbo2
OASI+lKdrfWUtw9sfho2+JbDs99oU9ST2RNgz+6AFmDwPv90DMzeAc5u6qr5NBQQvx8Wzuwy6Evy
BfxZFGrg8SCYmBHittA97P77avYpJLDYLtPsXcgbI7mM2BmK2dfgzg4H/9PskExTtFaUJU4bT88x
cMezLaKeDRLTp1diHA1ogZ8OCrIZUGQwwfq3Ji+76eNZ6+ODne/yuqd5rcHb4FuKc4wMkoELeuyO
CYWpTn7Uqs6/aF34lIamuQhz6yWoqaEYQBuvGMueEq0NVn5LFMPNMq9Vgqt0DrE7sTylHPXpps4+
wslcwv8Hn4ehxMOrbqPIOYDkctABSm/t6h50JKqF5kGOuQ1j7AAiyzZGyH+4NWfN0ezwvMvZlBh1
WIPNBdw/5LW6H4Rx7M1S2UvdxtGip/rZNOeO8ZozstqQA9E90ZCqK+O0vcJNy8KLD9qpL2hAriuz
OlhGUSyVguI1TI8LqD/dhtTm8/zYI2CkwYMZm/0wok2kfaCRFvada7xaayVz34TSXFlxdim67t5X
9GNT2uQShFJeSyWSOzG7C4Ni2iom4wPCTXqnxr7Psv69VcZDlNoHTE1XMqRBEFjrphrlyuIcy+98
cmR+ZWbZM7LiwdSiqwzKlxd1pn/MHRYbmVXq6y4MbkM5BnTvpbs67rdJxR/JCe19OSDpKLENZixx
XoJu4Aq0otPYFzN4y60XSttnsJ4rT7PSnUvkA5rPS1Y7i4EaHIwUH5ZN+pkKuxoPKHW6SIM8ZQPB
vMijNyzjnU2S1B1Gb9DaT5oHhKUxvXeoPxRGdw8U0kEhdQuLvaxr7X1n+kBWvTGnbmfTr6tn2coi
Ak9mczwQyfbivn8JLX1j1T3CYEDfsemcmyS/cQrx5oIloFNQf29deWMoo7XMqvIoq4k4oeGV/I1p
KsEepbUQnnpkPZVyPz97naS8G+bPo5bEu7oLz1MxnjIqyvGJwbUtUAMLFBdePjXVS5aP17KSnqC8
J/e7peLUC1zvG7qbtxRvellJ6XmDCGLOpTcierUcwlhKuVVwLCWhvZJlccrhVK1ytdgQ4kUB7IKz
aDHQ9MF2BICQFcoVS9E16hqHVoEiPAILyD6EITwf0APHHM9vU0AF74Xf3YytzSdS3UqWtdGQP5qs
xQi8LMnXrXLGRcMXJxaxtw3IIqM3OdGPUAHcuzQGNemmkGELSgozo/Zc3+UT6CvoUioOguxDUjDA
HW7N1thrQmdpOVi7gibcMb9ux6l+VLV2P5nOrWWVj07Y3AS9vHTZWy7L90qlTjgFxmTr0Rp++roB
fZkE8FpV6QV6eNFBoxe9fiN8tuEKfJdaXajQ4UtV3Spuv3UaBW0rvY3N4qo1tfuan9SmgXlhmSX8
F0RZtVtzKV43rrPW9GYPUY8XrFZByRs25s0SeAMYKEO8Dl3xyD/FmhyrvWxI2HElwV4PBxJiw0uT
NwzhygEo+25SbPRLiGR9naxDgOiLsPTR8kPJMG3ZG9H2X7Iuf26xHcrS3qFwrMoQ+1/R1tvcgTww
ZgV1ji7xvP5xqNUvRR3fFIrG1mdcR37Hewe3Jm+3dmvy6bQJF/QXFOJDScFQr5AsjOytM/onX592
uZHte187AtB0FnlHDzb4UZjtLFAG0JwO7Ab3CmfYUwngRdacSWCT3vu1dWnq5pQ35g0mOnVBjBl9
zVz2JWvLOcqYm+kVIiCh2kpdDOzz6/lGNRWPMmkPojY3ZUmBPaezWB+8ZpiHnpy1Tn5fl3IPde+g
CCM8KT7njoAJ+7ZpjNGbRLuvWYxP8ER6TKaKEr+xHb2P24zNCy1JQJDbJ4MONkG+IS4wU0bam5Ux
77fVY1KHO0KhJ+630UqtEw7QzcGcIq7LlFzSpGpPodmUa1dP7rK6JV0+JhvQ3Wf6R2MsbZyVCiiw
uEy3fmJ5g1BI602F11MgaANA9TQplklKKVOYn1nybmJ/3I8AdUqFwrkmfmlJP84hEK4AQk9xb6+6
LljVoZJ7rKJZG3VelvKQwAe77RXnre/NNfnsTdDba8rhV5xjuP80bAWDcQLnmx9kixzfmndoLTxr
2tLLm4q4XuIp4aDsc1TxUmXPZXBe1YpdqrTHSRmemrp8RW2lPwvguJ+Ox97gEJepPP6+W7ucf58F
/yvvsjNVcm3zP//9/48PoN41YbF3J5LgmrP/6DsjcjvUdd1FuXJSMxb/wF6SGyjMi79/kZld8OMY
SusLxzQdx6AufjgGoVmpFrKhchqdrzXL8+5pRNOmGBaz4t+/0s8G3u9faf5Jvvt1Cr+Q2uTzSsK5
Dg34vra2mqZdYT3E3XNUWL+rwb9wvuPd42qitpJQFnrRn19OoAU4floE5155brtDFbzm6euv/0ZM
ywzLvAwxvB9ewgcVorqyDM9EOuNh0+H9SoEcZsEmYt8i2n+ohP/J5wGTGYcWTqwcKK156/XdGzjr
R0KqbXQmrraI9Ar01aZM/uF3Iqj24+fhTy8yf/27F2l8pTUtnxeJa6Kr9dWM5fz7d+2ffo3569+9
Qt9ObV9j+D2jl+H5AQB1h8XiH15k9t798LH+06/xw5+mTGRS9lkTnUcFb4yJd+NMYIYb3JNJz1xz
EjA3f/3XQredecOgCa0fG3+SyMmiPNais11daDv2MEbY/sevv4ZuqRb+Rj4H1NH8+a3zTV2xnL6O
odeHq8zCQ1x4Q3r/9y/ys7cOJC5rGMAYtnB/eBHY2rYdRWPM3+cpt65CTooxNwPXvyVQayCkDf7l
719x/kz9+Mf6/hV/+GOF9KrUpSbRp1mPkZojAPIPNwNt/qH/8xL/y96ZbLdtRdv2V+4PIAPlAdAF
CBYiRVGVVXQwJMVCXdf4+jth3ziy7Egj73XTSoZtCSRwcIq915oLyh4cGFPHwEVqLzSE9xl1TQHi
LByV7BQfqNruWDzPEfl7xmV4ZbjY4deWK60//lY/X3IpMHEH39zHd/MdyoNsbMs+PvWCpDWUXCqu
I7XYfnyV3987nVvCyolS9t3TEjOE5ZY4uRMmflelFWm1n9y75e7/feu+fw90I4w2m2oWJbqfB12J
MxR1hhSfTI6+k6Wy23yMAMEGcfzJd/ndHXt7pXcTHFXVolZMEZ8UcFHWpeFfV/Mn09vvL4ENF4QF
b5L5bqhFStJb+hwkpzy/gMkJ1Ux1wHB9stT97hVisP24yrtHn9R92E4BV4mSl1QiUVLyahhVCEGT
9iQlm9T45Bn98rVUGYQGFU0aLnRS9HdbBVgtZpmZyBjbflPVj4PwqvnqXw60d5eglvZ22s77gBsa
VukJWpajSPjzUMX+v1xi0Rph5rKps/18iXgcMynlpHVq0hdp3gk0wx9f4JehzHcACkXV16DwRsDc
zxdg6jQHJUfpyD4v6xAMxbsIyV5uf/12nf9IXwZP/Z87hwis86idfu0dLj/2pnfIFEwAzlIVxw7L
M/hRk9X+EIjUiCL7ySevK3+w42HqUXT6OhhFmAP/Ksjaf/Dn8JWWQq611GX/TVHWlJdB/Pdch1Ge
040NUVC1+c+il/t5gEjQiUVVNdkpV0odxNG3AtW08E0Nyo9L6Woc+95yUrN8QXr9OBfIRAjauKYX
gkDKfJ76IfTKLqCIh761JPqShNB01enmUW6BeUox2edFCZPUL+yes/4UrtVSdJxig6Mk+XSpmDvc
2C8uGhI7JUGepWEPf+J8LbwQv3tnk+CBjm0/6nPqaGjcJMQBtVwYqwKv7zFsEaaAtE4RatR/widB
cNDVzz1tnzlLpg3LyLM0KutwaDn6j8HWhGuWI//G+LPg66vhAXXVbdpOgK0S5Voz2vvAQkNLe9HC
gqSJi4B52mP31WL9T2p8ysGTCTN80xj04yy8QFCLLwodJVs4q9cy6FAn7KJLisBnmWx81Vt0DjWn
enQdujolbi3h+bfUfW23/Gt7m8n1fadFu2LsxIry4n3RiHs7ftYGJMC69tLY9kutNhf1HN0ZxfiS
6Fa2UjV5xvMgThIfFvfXsM1C9EFxK+XOLHX4hJLoGljzsSul44wdAGwXc/+kwoNGC5HtYoVJAWob
JTBZPy3Fvn21sOANibZmgMgnDkWwiaVOrKsgpf3XyZ7VjLeikc6wDkKhMVvSTCGWUkW9KCfddoGP
WLu6zFVQjsPGQnG8qpfQkXJKrU1ihvUqlrPeE70/ekZHjRxpf+iak7qtg+GLb5nrNOpOQu4uZCQv
riTZ1abWcxeCmuUESUICSIAzsMXABrkL9Khc7zKJ6PZapTXHi+a7Q9HvUVweKR6r/Mv6OZbqK9Eb
J+KsdkFMkIxQ440eF7dZq2/txbyXzOK2hYIqZ8GXpmi/suWVSClSC8fohE4dn2h2q5vv87gqSRYp
z1h77qSODXXaDLeSzTmaH01R+EqVp/XJ9SSpE6obQWNYgZLTSJkbFeU5GR0XiU7xvZ1G1bGKAUFW
P3ijNRYXaL8C3pXaogwRUVVL7O3QAqZJtHp8an1EbnJTovKuG4KGkviuS1bobm61VkkZgREZ9Aqg
Cb3vXKs1WwrwVP+NoS63o6L6rlbIezi258B05lUWQ/CekYhOQO68Ka9mtHnZMVrAxZSNhRtpWu2O
wbzUGp+SsYIipcnXunYmTa+JvCBngvqqMBtPm8YYngaYWb34IgvzldUaD4ipv9az/GA39gGqxrGc
pmsV4odjNFLoiSkkbTyrrsKueUqx+SIE25E8fqZ3Nkkr+HeoVqDRt9Cf19b0qjb1YyB1+6FoL9NS
Okf9kqwpL6xgIp1rNm4NRUa3ZORLGXyhHHV2iNm2bV/LhfabYp5cATZ+Igr6ERwjDe5CStiVjhiQ
B0uctYtXuaGDhBEJ65FiE0A91fiQU/HSYuh2wJ9EKybkfSPVIx2lrluHc3/W+nh61Tq4EuH4RBQR
KVh6giunalKUmnSVGx3/NEeWinw0tw3H69Yg3gC8sJeOJFlWSaR6eW7UvHQFr4QlztOa+LZi9I9F
quFq6PzRNaXgGjM0fRT72vb1rTaibxS5jVZtSq8wAB6DQKnWQWul9/WA19Yf+oMkmypK+OXFNuI7
2rU0x/ohWTOtAtFSw+cxL2i36Wi5hvyMCf1q0ot+W7F9xzDdXZY6kQrRUp0zLGsTkttEzUrDYyk4
uFr5WegD40qq9NCE/WVkwAJTY7jKJIPTpKsVLw9Sfrbvrw1BHPecd894gDrHLmsK+7kauiKuJLBh
0iv0CtaLsI42BDhegtV8FhrvdpXCq9UzS6J6GgQLXzk/yjDynbqo7hULgklrwTvOplHQ4qLFB/kU
UDBztlHmMipUmZZ/Wzx3Nik/JQNp8PM1tS/EkTxyh+WudgcNt2yLyXht2wgDRR/h5daGrR3oGRZZ
/F2oUVLuUn9LpfVyYE1029gquDFNTD0a/3AqTQw3y0xozvBnIIqiQynNAyz8+HyCI4yRyhzcQMbE
LSXi1minTU19zyiMUxyUX0fcFHQn43shKEUOtbRkn+cH+vfV0TRmuFJU7JHiLprvXZuWVM4ntfMS
Sy7uUbGku2aubmnxVSvo+HfSpF+0UfvnUKVr249vWexlkNYNskXL3jVRcEE42I09J1tNolZropWA
KYl5a9KHLQdtIuEnKu892WWk8yHzNs2XCOnLKqtRxIHQRKlYWFeKn1UedmjdwTybe2WZRbwrnb+T
6+lJSAyGNuxV4t+tmzEnKMPypbMoCJ6wupL9DX9tjMtNURG3BMDihAhTIWRCDjwc2S9lPOqoJKIH
XQZpHFfiJHfiS6ELrK7puJ0D7TWWB5M5VqFfRW6pZ415uBZmumR9ASeXqbh51CRaR4kmmxxY5UGA
68KtB4Cn5MHWMMxX4URwTGxOAzq/+EmGop5E5Gu1kR+7VQ8HvE+51W1NNLjeuZ1mxG4nJ9sYy4cb
Waha5BanSqUukkPS2D1hW5SVJSTDVlCvscrJgHX6flXQVygSDg+TJO5IaFOcIPANN6ukm7Aebmsb
y1oeYQAe0gPdbLwqHWdZgB3kdOjhdStAkPtpi4efZJNMtm/1vDsFKXGn2KMWBZFEXIrgfdLIjBwD
vL941nYSOydeyFim4tw8oyg6jSrrOXeLJQTcj5AHFzDn1wE7kVSKVyGTAalZLAIZDqLETl7NxZmk
pupLP9V7m5UcibLx0pDfQiwtgK9AOUP4mWOxpAw4iuQuyCDWVSN4MasDLSBlxEg+y1ZwYGNAhoYO
YFrp4rPSqBW37OL4SFg8qV+QsjEAPQQSzq9siG+UGqNm2UlXJqI0eqnFTreHu5E9F839maBdmgVe
1WqBi3GMynZS8XXoRdPdrtEZF/reqoqTZU1LziMNIt67V6GSTcKYwdKcaGu57+7LfrH+1wrcgRwm
6aSdayJqvdyAjYKf7lpEPCPDhMlchCPzdJ2fgxvMEXWi6LbaF9L4SMKM2rtq/MYEkG/nNDobp/RG
BfC/GhqmVFN+7nvEbRYZYYAczGFVpN2hbOp1Lo+WI09Ny3QoF4za+KvN3hgdFADDMf86Z/XZDAtq
oaPvVDW/j2KsGmZ8W/b4sBp2eWbC1EdeARxZm2QUODZ8yM7cyGP9Cj21Yg4eH7SMPV8fK25EmGdH
x9wnACRM8iffSp7jtkNiVIFFbZVVQHyg3+PfJdNkS/fnagwVbzTAc/tVcT029rbU7Z1tSKuKmkuL
h2miOuJMWkjOYepFdX+oCfXtonLpRvbqWRMroMQDU00u03wW91MRCetYSSTFXaYG9aEVQC23M+h+
/3cG/e4u58T4z2fQ6/Yph1/71DW/HkN1fvLHMRQqG6gnAQ7qL8bpj2OogoVcmCo1w+9H0R/SIG0J
0sWmZNvsGVRsVOrfJ1HzD2UhvNmU4iBZLz6qf2Eu51T7/iQKCQKHOzwq+sAUdt6VKiRL0pJ6TIuL
bhLJfB6rpREfFV1e4Eok6J5YvfqWhpdxNDj/4TZ+0YNw8Go1u+kVHNeZkh0qtX5Ip+IsbfKrKItW
rcQmXov9c8swzhGDQ0U0h02g9cEK/xCV3uEOFvJXO0I+UvRqQw6YKC6NYF4jaEdAyqGy88OE6bhD
cgnkt+0kZxQW5Aatz5VnVYodtvBBuh6C3lJ2sqnV0ZmaiBaqiiLRR5N70sJJ4dTIykECQ06m6Mud
SYDOpjLtM5Fas36j+S2WS585sIPTTMrAoY6j5iFm27Lq0IWqyEb7mF1kBx+fXKvYTW2jQbpT81pC
s6hjYiHMfvaqOpArL6Nej2FnGJ87sURIpfmdWZL62IbLmcyuN9gUnkq/8FfmUMFPtNJhrXUFrGS5
QnbS0gUMI+ppPpFgtoaBo79VZf+LxIzUmtJVb2Zu3g87fcpXvdQexsG4sHuBW78Ubp2qV8QcPHF6
36edKUG57M6ZgOCKIDlA5FE6eHeu+k7aCYUNsA+8NShfVQ1iijRsmVeJu822gV8dSB8/Zup47Ir6
mRnzCobfVo3FbUIZITRoquKeE2FPbnFaXqflzAYmWqUwNAajuapb1BrjsIuFTogJJFDberKt5iyN
B45ImaZ6sf2aKxzrU3HUhs4bCCDTyxk1TnPuR80J78hD3bAqIvsoJXYVZngkdQ6Fy+TYxnxE4rRt
RvVuHorzHs2Eni1AV2Qd8bAm+etIQePYaPYe9j9bmvaMIOVNKeRH1YjXVtSel1r7HBQ0ipdHH5j2
jc7iGCFYtcR4UHoWiM6Wj50aYiCPj7VQLys2LO0s3Rqhtkvj5QmTxlEm2a5RlhxUi4ZF9dXWG1Ci
6R1yglsY1ldtKK390jhouoWGNjvKcZ9ywFEOgz4+93wI9EwKWlXl4PegdkxAA2F7CEySNyMCPMdw
VzRZRcRl/bU21aveHq/qKbEdP+iNS9OoN5EYwqPw9fPJULOLGv/cjgjWaoE1FRohN7jZHGOsLmi6
HgaFIdUtWW09rvdq8b+XGOEnDPGIFFZAhgmwDS7HxTE/EtHXp6m50jDTt/HE8MNdX5b+hjDpaS1p
PpD49HxYnPhwym8SrPmatORZLG59dfHtK98c/IuXXwrr0S17KffUUDnH7XKlL85/LG0toSo8cchC
pxg8QIOrjw5GsQWpJuELNuPF7nROjs8G671rsGOTB+xCjA6elqqyjHegCDCTuTlwAnWhFIRTs0/B
Fuh+ctDAGCjgDDK29OXCNwD4/sJGlIcxSyt1QJUULzSEqBWXRmrtioWTUC/EhHxhJ/gLRYEKGtYW
fOJqCFErBrWQRWx4E+ALmVrctwuNAQAXu7lsPsLMPR8BNoiF3CBZGO3LHIJQhBMsj/srAeahRdgk
EQBqSV26TlEcuqSdnEMkmWD3MANQki5deyFHqAtDAtlgtY676VAsfAmhRRcJwIlesNMLw/EmEAbj
XYmcHDhFbyUIxrk14cKtgCV5ay8kC3thWugL3YJInnQfGkTa/rf2f1v7wS9+tPY/5f/jgIh8qv/8
rTR4+em/1n9FZ71madWX1v1ScP67DL2EdlEGFbqMipHimPb3+m/wN7YGq9ykTvAzKFL7w8K5vLiY
/4/0+m/Wf9pr79Z/dOmLGcY0EBpjqPlWqX7TJbdHQyKnQAuPUkIGr9FnrWfNk7YTPe23vtbwT7ZV
S49eTJLJgSaZDYoOQ9XEt1OcxMTRod475rVKAnmFEF128Fz1lxR5iumpU3SFA1AAfbGjLJj2bC+c
Ch01HjUNkx/FYFOp5p0s23XQbFpASuG11XL0qQ1sEQxuEzHbHMzxTVak/a3eQq2GvCIj/KQgQasz
jsN1WVIELGBzw2GN0PLBqPySK0ionClu+y9lZi8IOaOcJ1fPZ6x8UkNEMzQ566QlfcmuvYofOA0R
dG2jUHWUPvUvqOkH1N+tODqfGw5ghGHN1AqtSPiuXahkMMmZS+Jedy5LZnY0Rd5fZQAgcZElZP+A
o+y3UCsMKkKV9ahS8J8JQ7YLaAd1JygwWJFBsDmapiuJgsQMLCuLtpjw5pdMlZaEdX1qcneSK6NW
AVsbMUlDutYlxc7qtXZj1DyQZgUFun9oo1pRiAMhsVSP0d/mrLLfgkLm77Eh06DNs02NhURKdId1
sDGh+iAN6wF12nlzaYMJxVsN79RJGz28yWB72lpTDqfiG/Ezl4IeaHwj4+ELvlFBMflACLUWWGiS
NuoNCI2Uw6HoiIoecjlKt7KWI0gkysGPd5VSxyM0PRTDXwHcB19t4gI2Xav5VJ7DAri+rYYIqfEM
Z1JtApaImnuofmV9UVGNdsXcfu/Q/dc5U5lF/vnUcl5gZ/j1wLL80I8Ji1YXPSmwHbpBF8Tgr94e
WAxCwziyfLcs/JiwaJ3Rsyc12TBo3y+5yH91zvgbuA26iR8PPT1ArH9luVswXe8aZ7picfpRFJXf
pVocjN52h6uiwuEZxuGp6tD8bqtkwAFqmBcKubb1Yg9f+K0wmgdBWaGcZRsmARnGK0gqbb225Exp
rwehBPYrGTFb0mQ1/4nNXCx7w5CnJEJAUvDPFGTlMGup1gcncsojtvOVHlK5UTp1pJs/GxQf3LSx
wUax/zWpjfQT5USkkrQVJ6eeOrAmMZyocGtipSZGBviWo40cHbZVUBP0lmeUCEU1pDU494XS2NH3
M72AKiO+eEvg5+fU89XAo7T5b9H+fmCnj//PQ/87Ds55qp9/D4Tjh9+8AsirdFPTGdHfF+Yfr4D8
Byd2GbSbgdeH5evHK6AZfyiKhsUGS6hl4j5FjPFX91hb0jQFdhLN1Flk9X8Fd156wz/1jkkfXyxF
Om+ihR+QF/TtK6CF0G5a3BHHkL5wcxzHhze35fT9N72Vg/4GOEddQQeRAnEFWRZFt5+v0PmN3vrG
2B272fBUtXydSv2Y+vGVUbevmDkBKNbRKtMJ3FWkfKea9rauYq8zS87ZksAdMWib3Ky3UkNcZheu
9ab8U0rZrar2oTM4FDRtMjhzmF4ovWKwX+/bSrsIsJYs+X+9E3ATXYPd7LTWiGRsnEE2diP2w9fB
kGE8wojmjY5MWm9R+melpqBfWdg9HfsRZo5Auo+BUIHu0l8Ir8jWrUJgqJ6E1R68bAE8xbqAByB5
qVXfs/MAPa0qFAJ1fTjF46DQ3SjatVJTc57qfI9X9JHshoOhopO3s+lA1aHapnmxzfN2BtxU3fhG
utHm6NwKgYPOc/4oyQOhW/pIWId00ZLd7TSAC9YdNhu4I9cmnRtJhlBV2Y+JLG3zsjtrqUxC950u
x8Q6i6nyO8FM7HWbnFWm+eQrwEapSG4DmJ5dEj21DcarZsm0Zh5MwdRJiJzpx2H+Vx8wsZzZnUkK
lHHQ88pY1Wp/nmrzSmDJrUtaZNQcQVPaX2JYEJAX0lPtYxNt5nDfRvJDWUHSn4iC1iX9pk0VWncz
jRtt1q8j0uvcsBlDr7Oi3ZRSCDZinCR+LDZyhfaxEMljp4MHlmkQywGnrLzt10Tdn+EUcLFg3enY
l4bQOIpGPDTtfJFE+lWYodHv/Gxj6v054M1dQRZ7MMZ3YU/rNrOHbdoPBxDm1wKkl9PG6Z2aN18U
37wTfrcuanFmzcZaGutHobeUO1qbTMnmoeDLq1M2biSy7ZMU34VJ/rxvrLRkPJRDbAFAxUBCVYVf
ajXEcOKDCYT5yFtASyt+CHw2oiPO6jW9Z4ZN9ToV8dZqY0/XyseFXSFJ8nUDrsJJCKjH5u3KRvo8
J/5lkoG7wud7AACOjh0/gqNLJqQqglhKOvBBFNDVyIidVtjLSmWIX202DSCiVLMjclFXUqkg3hDX
sa3fd2UTrCWVVS4tl7cnHlAxxHsijCzIsANEL3oBC2L3arRwfnXEqO77QKZxL7TGs1PMzioZBd7Q
EMPbqsKLDEH72ApWduUjyrbb3guBLcBuQCjC+133+LOzSYLbHkd9dBzriBAvqikrm1tBP7wM0FSA
s4vTIlzpoVlTG5Fkr531Bim/n1wVluCsnnXyvhSL12hSOUzU+7YdL0q9bHZ5RxFe0ai7K2rVbOl7
xl4QdQcWaEAaSZlvlBlMxjgDkBwBpXZ6WnpFWxWqw2H8wiQ/HTcOESpzv3jd/PLFmKcvta89mUm1
ZX47j2FXuLaC921KpYOffBM/0PNJhDG6LVb662IBajuK6ad09/Oroa8Hl5rshU5ph5nFrWN9hW6+
A32b783KZEJU+NDmcJl3rPslpTXmqLOg8rfU8hdaslvO7QGrPjg4mC6pfIdOz9U6+Wyw/XSTj8mj
HvtE4UQLHskXewXrGAmRkflcDpLqzjNZ7o6ORf4mUTK865G20cyCZOIZ/lpozYkH0bk+n63kqKkl
LPvmUqkETKUGCxueFIwXxoopb6cqfkegpah36dTfChI8MzVzO7KM01WDw8mbhjazmXO6s0EWxWOu
t9RZI+kVPqG8mjpoo1yOqmuJt5gSQj0hNTH7LQKGfoMlZdow9Yd3fsUV1C69yYmrWgFXt8+6qSZG
Pg6OORJmNzU1i+R4tvh6Yd4AR475v5gybaY2ZPHovo9msboR/nRj5cZ8P/s5u6uuaNY0nFAPDeO6
nSCGl3Kfb4qpguDDD2LoM7r7Okqt9WhNdPtpyYD208N2q/dUX5KhXGtWVq+mrHhYyr/5QHysSZ5R
U1zIk3mWVNOtHMZeH2EtxDJ526XqjdVVNnE+5AMV6EJWhZ9OS/MMl40sP2jw3Klv6tV9J0plVRYY
1VEzJVckAkMt8LV7dURc5KvGiHSFg0vcyZP38fL8ToKps7smYo2tBptt0CViKei/ObDjdRSaFcT5
sU1AMI3zzhDD5VA3648vg8347TaDesW360DON0hM4bV/vwloTXRcQUgxOE2XkK5bZqUT3v5Hpsva
GSYUG3Aftz323dRKto0aHuhAE5KU75mpDobfOLGdXIY400Qle1pITxcpVx74X+FS9PDViYScraOQ
g6ePP/pvPzmOanR8ID6QDf18h4ysK6LWTvIj4h4Cs7BRZm5YfDfE/6Ptw14aI39vw7g/mKnpwagC
OTStmm9ZOG+eA3nXJQmMXX8sARk4sNd2WsHEIPsV6waeoMWadg8Gu7hEdb6agN2QRoakbiqZqDTg
T3GGr2zuLsHX29fUud2u6I8Q6lLeEuKCDcJjHKMIjhEY+NE3uOcq743IcIdOlMKvDCV9StrUVaBu
buahAl2lCC+EEOElrfYiUTZY0jVcZiXSdChtuEWlEUBF1hhLEVubUOyqWf2Kq/RpNJd8HUAVo5me
T7PZI4CYJBQQQ3wuhyU87hFKUqCAwAxtJAVKFHzxOyW7qQZSy2wFdGdWYoMSZbsVyuD1BUucsiB9
YzPxwNNewOPLV+M8Ul7R0oMvP3VoDgxzx7z4YEkpREzAt1OsP5A+F3p5mUMd5gynSTKZOGw9Rl6z
lRlQex+lbFu3CCUzZTzr5P4JSU/4Amp0I4sqQ58VnlOHRrPYVGvEMbDNoFlmQqRHu4OWJOZxD5n/
e1DOPw4HZJu/GQ+8kFTmEIhgn3nXSEN7XeT8HZErivqkgRldzWWfHgXcC6Qv4WPQ0FDHT+EqYgRM
mxJipqXn3BVYF2FibtWgOW+hlw6zem4U1r2mo7FoMqMC+icDAzMwCwcRtI/e6i1PLvRsq7KorwYl
qlZWLbEfYSKSsyJ3iWm/DrIIjVbY4EHkAEoTnxA7Ksoim1/qQjzZiJdhEBamW2fqrUA4pzdkoSBs
WwkouC4tLqxqg7iPLQFeWv0TDxIp9APTgJ1CrBtvfDs+mMQVVMS9CwM4PqEt3aReI848T+LwmhDS
K3LsN2Jq7yGf6A77RtkjhZa9YNV7TTf0rmWQ06rF0oqMGFYOIT1JjAm3tLUHRZPulbCvVhXNby/E
iNrPaD2kscBKXm9kGh423CtgIKQJ9is9aWXXsoa9CXJloJGDxrFc1Fg32lLLIpi5oR6pDfDotfop
NwGTTXzODjxxn1wgOTiYuVgPhb4KzQh8XQ77xY4uYRcnu8mavaLBbZ1CIizZ0BQi4FzCy9hL9uVQ
ta+RKS3AMhn1WEzueAelukHLERAvr4iDgHOKjYqnpAQZcXmzOyw71KQLD5Lie4ky3EGWo3YRnRaB
TxBCKEmkfcYqDv9maykAB8oGNSgC8p2urxQUpKvUH9Yty3teZ+WqI513lZKKQ+jvfsbCZ9oUQgcl
wLQpM+nOIHli2lXGYJ18S9liO90HQ3XAp8qut02li7QcoKmk5pkeDHtwLJVLjj3PhnRFd5DjbYiM
UWo4JaQoTbTMK2guono7CcMzYdIN1hFBgyABQt9CML4rZZB5mXwujBp+nq8f4nBA3IccYt+pvYmi
QlHw3vr5ZujnVcm+YVtMEL4nYW7h0ZC/WIC+BW/k9TidP1naPnlT38v/1dCeYrtMuqNg3e+bc6zc
7giT1x8ukvpc4cTy8Xq0uDDerxRvZgYqYD+v2GGYc7pgZiiKr4r5Zz/Szzvkwf2gbz++EDTUX69E
2U5XTYpkxMQtK+ObNWlo2r6K5X48zoilvTIaGzfy1RujCYpdWIBPTMZ+X5aR7BSKrJAsSOCJiAuJ
w8RMBYzf6zaK9IpK4BJSlAUcqfsiRcVFIZvXKds3Tj2koqrXY9CMq7wN1lkbPeaxficRXX0VdLD9
jDBsN5nR7Q2oRmwsvElB+cQWb5O3mnlnq/Z1OWN2JVCi09pdpKn7OZh2RmlfDAk2WZZtYHj7RF2k
mJIjhcQ5lMpdVtZelPq7oVQIu0HMA+IJkim0vnQIHqrRru/UgCAItdGCT+7qz/WW7wv925u6mD3e
3NRE6HlUE+1+tMbHcH6erE/st5/9/ncLhyyhKoBlOB0j67qMkc9pt58Mi49HxTco7psvkIkskRM1
mI6GeooABnKbZDqnH19kuQvvBzn0AAtMr1AMS7wbeqPZAGHV+Ra26qrtSztk7Eluo9H85GmoP49x
rBOUpGl+KSy1tMfYmf78OCZgp0Mwl+qRbcwLi9rqJl2Tdev1TuTeOblztxNuf3i+itzwy+g9pd70
zBvdbLXdx194qZH/8o3fvNbfPuib22r3kU1cN9NIu+5Xsit743W3IWFkbXu2m9ZrZcN9XtPZdxB0
eDYNbk8/5i8ff4qlHP/Lp3g7Ot9ZwFI86pZac9/vx53qEYOztk+mc9Egbltt7gz3AP5iYx/D9bjN
r43tjb8iJm3LvOfMG7A4UE+dZGWvpEO3zTfNBZgDfOurL4XTHWV32hg7e1fsh219m62vP/7oS1f0
w4/+7iQjqU2EtDxiXDqFAxfiKwmtN8qqcuMVqrlV5OXr7KzYnF4OXrdDHDi68Vns2GfxkeQe14d/
6vzpu18+/lTqYv76dSD/mEPFO3NYFBW4twSfKtyRaufO22zj3+Syk7hF4aAmckhoctIN2rqt+kgh
zfv4+svw/fXyf79H72YbphppItJ8PMpz4ZnDsJ/BC/UEsH+yKC2zykfXeTfrIFzR0Eqm05E9tdMP
L/K4HcTzpHmV3FKKWn/8rX7/qH98q/eHSSlj8jequDuGaJMn/6oMLv//LvDuzKeNVioEmbXHxNir
MXVA21x9fIVPHoy5vIhvXncpK63cnHjRivLYkNJcqvczoKGPL/LZfXo3uTVK2gCciNvjuDwViIz2
+H/Zuv94Uvnse7wbYF0xN13eZNNxwMQRiWMGJAWn4sff45PRZb6blYQfSBPFOVYDjC26nXtJ2l5o
WueaqHjjQT32+JQ/vuRvv9cS4KPQZ5GhJfz8fDB7an4Ztd1Rz17reJ1oIUW+zcfX+O3jeXONdy8N
YWyNVIX6eDRinfr9ZZZ9UlX47ALvpkQIyKMWF1V/lJm0KUaTLvnJbXrnUP9rO/PjVXxPdwgjmj5+
yjjmbOBUbnAGCeqcI4J7hobKCy46J9t/fNfeJR3+esnlW795ddA4aACOQtaoewrDObMqcQ8OBv8n
5TDveuc0E9LF0m14UM8d61JyrlpvWdVPD9VJO+PUHjqxN7XONnfDzWcf77cL+duty/uRE9WDrPi8
dMrFspBLTrNJ9V2uuE6y0Vd3uXMGLXz/Kj9zOKtvpz1OjU9mL3WZnj6ajd89915qsDzbE3uJFdz1
1cI0E469T1dX9lEctE23elDXvpNTsV0jJN18ThH47COY79Y9aexwkQxle5T2hTOuqGzGf5KytjL3
3ddxW3rZwdxAtX8NHjR33CQXeDm+fjJOfr/0/hia5rtxkqC51ZucoVmvx3XlEI6y7Op2iXvT78bd
DseLMx9BWd/Jawi663JjnjqnXnVeuBuc8DF1P/k8y8Hsl6fy9+v+HoxjSTa9oZwppfIImN+AVhrX
83o+RHvFeYEJtk5ca1duKeod8Izdeha7g9xrN8n6Olotm4T/2xz8p1pZZOkftu7/5/yp/Vr8qlxZ
fvCvtj20aGLcwOOArUHKvlTGf7Tt1T8MFc2IgQ6FkvZbqZ35B3I6lZq6ISBpoF75u22P1B5AAIhO
iu0KVvJ/JbX/eWrn3EKwiQohlFIx4gIYwz9PgtS7uioT04DH9lSDP6MyunpzU07fB+bbxj2f9O1w
NRBBYDTgSnxD+vaLC+HtNCsGM9E6kyYl5razyPwiyUCfLxFMK/5p6I+N4n18PYQLn1xx+URvJnZ1
tOqIvnt3EZec1QFctoQMNYWaOUVQNHQlCuusb42SSovhO41Yi5hY5sqnnO21WWt6MXFZj6NqqzvY
9vQEKqKflKYgxNIKDwapUDCRE7ckJ6qXkleb3KiFqlAsQVJmgVUgDuhJAYnHNa8SOFUv0VMZbdWt
ztrfLLFUBmfIdVBGxcafRkqjS3yVWXcofWeAM5Qdr6XBosMTXVl9v+fsWThmhJmTNCzgyHgIfAvJ
IklZ+kQ1m1aL/7/sncmS20abtW+lo/dQIDFkAovecGaxWKxZwwahUpUwA4l5uPr/QemXLX+2u8N7
L20FNbBIZL7nPec5VLyTKbAPZSlue7q1cHgeC3OpM6F1C2o3Th7jqV7quPriSz/btyMtXf1S1yXa
Zh/T3+Vo7ypaCr0iWQ47Q1PyhZX5jKY2P6gWLyT2R8x/D2UVyYOswBMLWoErGRntHXk6/keXk/65
ZKFz3ZJ7vynyGfMiq/RN3tnVS2p611Ii2DmwrVV8HNPhXPsBy4X0ZprlR5ER9FqMdbDxae+y4m9Y
wV4zo3S3g+ucR+1cBZa96VN93cLM7rrpONnxrTlXa5IDeA6xQEzjNXCyctPOubkO3eHU9ObHqrO2
jlOyry/mJ5cUKemKCTpqV9wWabvvvOEmndMrs0zVamSRjJsa1ks1EkBrekLEzpRtm0Q9Ve0EDMgg
JWrlujt23dBSl2Y1d15cTddETVg1EOTP8lffGC5O5N03XY22H0FXjSJGb51fBVl82xXGw9AX7Fn4
sZQjzVcx7ad5+6qijlJUmdxZ4bD1uxwuwig2LHs2TjLdtV2JYoDdSw7Ofqj7nYmDrJUeGweTEpDy
gSrB2zyoaAMaG+p+srS/H6foXgbiWA/dxtPeJ2xja7Yq9SNSqL2mY/F7Yfd8mnxaZdjQzgFrHtNZ
w4l5M4GcFyAIKkckROD8o5VTUmjb8VYaA4UY4S3NimfHJXbn5vvRdLcU/6y7MTg1DRRXl1X53NJE
atwA1sHdbhx5UNxNXtiSDgZrajvBrvLtZ4f2BotvyLpacO6g/+joHVxgoBnVZzEDhz0ZV2kzP2L8
hImbtTdxXT4k1P4kCXnRLqAHuPOsr36XfE2Udy5Jw5IrHdL10NQT66chX7tB7x3eHzP/HnqLEPz3
h9593L/VTfzKJeoNSlk7HV//579/NKMvL/x56OEvpxfUIcHFicd+6fczD3s5x8HiE/M5GXyTQe9n
4RZMajgn5NJYHzs2prXfzzysavBqPM9ExeOBz13+H8TL3hlev9+g2OlBq2NDyqkqJUyVPw0bVtG7
fWdb57qsKq2uDcLbxDd9x2xybCROkl78zrLTTcR3pwNb2pEBmyaoBdi73AuA2OzSlZVBXdBoHF23
sM9dakwbMrbFiS9T/jDZlLRgI9HXIGPKb23YDldWPqQPjhjqk1MmfrFuR/XGk945lI4X7ERSu7g2
oVV/iUyc51CF6fapB0xAfrZPLTFs5qxwiZJKmrTteL63Ghl3oD+pfSom9rOm569mLavNaCWU9y37
5Rhh4zbPu+DRwnt9D/wDJ7uZuCm29uzd4z7rCL97/cP8LlQRYoV3WF9ijO9/2OSnd888t5f+rq6F
N6DSL7b64N1hL6VOiJjFVfJkJIsHv+pT/PijJSs2w+8+fXex7KddZx+dxcY/08K2UXO7qmF1eiwA
N6JwSSP3te+eyCDVXwOg8ThpokkT1DIb+MoVgTKSpoVt7yfRJEd2xMrflLNzPwuSyAerd0n8q+Qb
/qvoSkvYpGcX8PeRVULc38+JJ3ZT7RbkVSM+mMM594m6GD/G8H+fCAs88u+fCDdf9dc/PwyW1/x8
GCw3YClYACkugFR4Mmb+cgMG58ddBBjIQnXkK//zaeB9wOuNl1TxkFhaCnjVT+Oq90G4JFdwgOA5
5ev8j54G9vLI+eWGutyBFVw3h6cOdAdJ7uSP98UaBITj9tZ80bqB52qReayp9Vxpd3oSScUtiHjp
AFkh0N2L2QVfYskdwhydU+MGGfAOg2RTtTHd6ezOUFZdmNOIGe3KDOOLpIhsCrxbMwsJiQmuItVg
7tPRPw+2e13m5d4L/UOXWHQawzby5AwSKMR71sqBDXbZ7VpbvBmyOIEjARfZO+FZLVwkQ6fByqvc
7WQtLVoGkGSoQaY7sKm2vGel7dvGyi6uD06iqwuWe3af0ZE04VxLuTS6/h1WqIeQg7Jw4TpPLmj4
MCuxWLXO21CGyXmeO02dNX/O5Pb72ahDDGOQaaQ45EZq7mCz1BsuntG29cFsrK1QY30I062luU10
uFM2uFuJnZMKq7KXEPteC5lypftm31U1qFluy/txpvNMmdGuHNJDXRTbkQv7GnPCpnYycbSm8mSb
pOoFdYABLadrrzZxq6QU8aVlufYH+VCJWNKqUZOPo6yKvo7a4SnNBXjoeFzN3CvdhiuFp9AtqBSx
cchi9g2+NKH3mIBMOsbcnJ0peCOKXKxyaMFYnPNN4+Kwskr63wyHx3SEeahKc/Nx8nzoJqN7zAsq
7pxQ3wuRHYDVq3Xkwh4Pyeasy7gJjnLo4RqZxE/YoUGqIS1IIfXEsJGBUAnTb7Uo4CpXogc8P1v3
fsU+fHZT2kaon8J2E22MVuAyGEx/6Yu2cqj2QXGUuAMPuPLZcRteetSeuxmVg9/fIf8H5iDZt6Wb
VYeaHWvw4MG0uhIyeg2NUm89eEJXPPdjPDr1sa7Cx8bE0wLH4uAYmlR1K7c0Abvb3is2Xl+Up8Kr
z02Tfy9Hik+deTiZY/9JN5NayTl+7izShbHt2+s+0J/6xjO3qpmvu2KksJnLZO0ldMp5lDqW4b4d
3HMxe3wljOd2EHgThvmQWHhyZOhcVBNyHYdQHyfcvZ20XPlps0+UdZ1JUF6YBr7MOrj0ZvpE1BOK
nRscQ6ty9z1dYswjVbytEwx6cVR89c30DIhjPWZhtDV9/1xk/qF1e5ihisLZIH6ihw6l0WAPl1jm
qx3r5z71NkaYEZWgWONrX7uQSIzPvbPQc1rvbJM2XQsS6Xcydb60Gsg3m3NmqNPENDkL5xTSxAxU
yL2MZWmdcUHsM7OCAaTkyR4xHtesnw0ruscBS2gznr5Y6jE1ts7knXQc7/w+afDdkEYttPEY90rQ
vZsxXyhjbZX1Z22094nsgjXoptvIpTdB2u3GHnCAQAsyDHmYl5ILQmrQ7msAzazgVlnkn5XvHxWW
EjIj687hp07a9NQDQNun+fzFlzBDWjg4kuyKC/A/M5Jwzdb+uhvmo6/jF5oNzFUgBDU6g7/ScfLQ
Zu6LX4Mp70bcMkWlnkOjLdYiD/gS41xZ2VG7xeiNMObP2bhvCvzOP5DA/564FmLv/3LivvVfX//q
zOVVv5255geu16hEDsW3kkjSL2eu+GABC0SO4h7tqIXb/PPM9dGjJPd1SYwJOUr8cuZSoYvixBMS
seif1r8QMPnzkUu4lKW5D88XRMLy679INAGEENsN4ukSF7f2pDg6gomQRes/jbM1wESxqpVvFdfe
nN17k/My6cyAfzULWqJA1lGgaK5U6181qX8hSVquR0O++FF6zjr/GavyE+Ps9w7uXWUAXot99TnT
uYYjJq21GOa9aeXXxEEgwQe9T0rDvhnMikIAaTqrSqbPMpQzZirJdQC8vsVpviot9xNO/edwml8M
yFc/sGxV95TG7W3tOxglArEHLfDA7uqpLMfwJujbq3LoNcyf5iQ8otsjdVj5WPJvnjcJpeFEOI+d
x3JeUtmbuMWuiIyPnY4JZborSBw3mRfuZiei3lGpYBsUyGU45zZJXO0qj+4ZG0MS9/TX0o8vTSok
ZrxqepiJmcR9QHmWbuD7QMZyE5tqa+kQRisw5fmG+zmfU9o6h0BRJWpmV3i5/U01iGZjjOTqVZls
vKHfZI7vbvyJm8ngzytbdA+SjojtXLvPddXTKxbGtfPgq45DG7NmCUt+lE0zP4lhmJM1nTRVRAag
NaNtRu61vhmnMOG4icKMIaIE+VZByvJkv00b+IwL2WnoJW5oWF9JiCvAdPq1WkK5AS0LjkL/oH7l
TSfuOTOxUQLU/jITolnJhg8Ovt6ntii+xPRPBC5NNLBAXKc5Tl13GmvqdWVSHOivM7ZRqhd/fX/2
l/hoOtEZHpkfJ0de5Rq4Tu5OXyvhVk9OTm9E7nDC96tBD0dsm/sxSYJD7AY2HfXBAfdkuQ4r+zR1
qVj5BrULkzERx8u9Z6OvPfJ0xm7wLVqMYGfSzQoGazjOPsZLs9Ry5YTQk2BncA3Q+5iRbWWq+baw
gp3doSgZcBrrunues+xj5lrfS5v3jAf8J9MrryljfiI68jnM69sxSuP12HrgP+ZPTU1yxCyjQzAm
ak0/8bYY26ucbvo1Dt5PfTtR1ld9bad4i4345CcYHWP9WcZoioE9ZOvULMgH1tkjx8VTBNwSGBMB
ClPhgqL6Vs/gHFr1ufIrRrlOnmut7ufI2Zs2FauQA/fmRFFO131xvfCedsCdEsUFFfwyaobbSs7W
NfWclNrK4npO+xvLDndp8ZpiJe16YizNEOzLmGnTz5wF5zbdxvSoeSbQCH/ooLWphk13Q+O7tL7m
Afgt10zbtdkAZspCptd+eiSgy9KozBT0AfVYFCFMKPPz7EXnzB/vbAscg5mCRKv81yA3DySy+Rip
6th3OR/AYOkgGbdBYr2xWNV8ocQjH+NPqiVeKSB6tDFFFr796s9TvU0MYsnBkNKxIJx1EFqKyBN+
/0yCO/CIp1FXOGa34DLu05TnCuNtdQz6yNzmkxh2hfRfxqD9Ci3jNhD4owPlBptmMAOyLpXPtcY9
aa9xbmfbIzRURsVdgKvuQRfiWzDZFkDM+Wkuy2t7Dl9EIa4IPk8HtAhj26YWXFQyPY2Omh3wzYJq
adYaWs2E4wDa1Kleqn0qDnYqnlfwfQBhuGDPAqe+noU6tZa4ijtxxER3X4dgTs2BKP7s3LCdO5U5
/8o4rTa6jcyVOxvOBvjzJoly2CrK+bFN+PfIX07ovz/yL7h/w7/Q3JZX/TzyUdYcQceoSUTCEShp
vx/5gol5wb9zugM3et9B/Tzy7Q+YEiQbJiSeH1X2v43Z9sKIIrYh+W1dpnPrn4hu4KD+48xnXF9E
PWQ/nxyn8JALfz3zKymmeFBmgOgv6CGes9RfCxqZTwZU0VOh0NpxL0wdOaToKg6mz0DyWMEj69iL
vmMMjLYHGWUwYysbo7WpK70dCcOFawgH5XNYLzIRfXdIRsWiHhnvQtKwaEpOFsRvbWcG9c5a5Ca3
YQ4oaDwteD7u4PMm1RZUA1yVrHZota4TuCiTWnYR3KCboPO5JcQab1dCeoHuuPq74YUj32nCHG4c
9PSL8hDxwKbIKYtWhs24R9lWuMK/TrdUTZlNJy56LtEMTAbr4U7YM9EUf8GjXztldsThexzjYF67
koTTzLS7Lpse7grog2sN9tDUxm3Cd/5eB96p1RGHWcg1BPcH1cRNWa8tY0i3k0wStDUj2aiqu4xt
czFSjKlDCO10crg9lOWwjULC7DyaWkomY3uqv6d2+xBn5gM6To4DP2uLW6MCvGU76Y6eKlZVMvpU
xpzErbcOyHhS+5LRSVdGAAJp67S0CnG9E1v0oVZNdv5gSHfYaY/TQRHn2NSMQkXFP1dT7jdSXAfO
RsmNJYro0ocDx6mGCmq7za4djfJeklP15eITZ+Vi+6THtIV8EhtnetR3SKDxauq089T4WAE495bQ
j7dDY4mJIebrsZtrtFClP7tBt+T4DPSJVUGYYd2QAdv/8lX8iw3nog/9LidjJOELh8Yt0QS4cKNl
/fGDnZjRYBJ3g2RIKGVnZ4P1NZp4n4YpLf6/a/vf599iVP37599t9vXbW/0XMiOv+vn8s5aRx3Lo
Nmbb/GOz8JvMuDDtHOYdiSn1XTD8ZeTBGmxTSrbsprGXMw39LjMqgdBIqt0SCMps7v/B0gGiwh8+
Ju8yI/kBlvpwLKylXuSPH5N+GhASUJ8JXvcpSNH0Y9lP96rs6Un3w0suquQbX7ECBrL9aLc2l2fb
QLxRw3cjMncA+ZzVbJPFCWkFN4uMxZ8CNI0L/KUOUZ3GjKhr3xX3LAxCBpEyIMYA7S7PKEXW6gWo
+IPs548RAg8btxZqqgbZWUb5IVX6yl7Ez1zBhgK+spsz64E/azO0LEDYHpIb6SZM7l6XrJH+z20K
gVQST4dQ/po03tmpgzvTGS9R2BxKtbC+KFuzWGXsHDydq8TpF/RouV1KmFbKou+XuqrlnsTWsVrb
gDOOzLIwsbQ4CNo7d35LZTKzlbftJm1v7TTYy/Q9n5Tz0NTOI9FggGL+prPtLdk+c1XVtNvE+XSc
ReKs2yICE27Oz67/moO3q61xEbGuVN9+6sw5Bs4G6M9Zata7iflO9mTJ3HF6683y2Au1U7ZB46QZ
PYeChzwA+HXmZdXKqXOGrEW0UrRoqptFdgvL+hkmzQs76ZMq072RkmmnzbFqxLEL0juLfdAqdOW9
xzsUxIqdRklhfJbd1I5/L2PzJR1nc0WfEtdEk3i2r4an3HI+J55/w7MV1ltfODvdCUp8RnUSifdo
LFxoOZvPcZ9k0G0S6HLBkx7rG1wPp7CGy9Zk2ZtjRF/G3njUdnc9RuM9wK+dKY1PnZF8y3xKLFwi
R+tah2o1Z6VHVKH6roB0mx0Ik8rxz/yYrgdcIZyJm8D5LjQZQot/zrIU06ps4CHGD2VEr+ACRDZD
tZ8Tcnt1UX6xCwnGqFm8EONXpxv4fIkK1S4sUua2ErJd9gpp7qNf2wDfLAoHM3nVyelQyhZrBU4K
K7KXnMg+5NG/Ygi8JbYBzzftxw2SVgTCd0o2RoTjdbJxRCCSPictb9LMkLtyGVtA8Vn3rdRbX+d0
EOa1v4WGDrWdzrUbqyufx+ZzVh1tvnOfiY0QhKzMQxRyosyt81RWU3Q3DbV/DFLCgGDOx73T09pp
dtCzu0rg/+sirr+G/o5W3PpQ7aqWq3kUJBNekrSan/r3mdjtR49pNQxS56EIbCZMI7SfY9DzW4eZ
mj4iAndM2WPhMG4vc7cH61UV/h5UOyO58LwNlWjZVawdtc1p3dvqwf5c9m5CjRhftyziI10MLRXa
CI2xS6GkEeeb0PPHB0+jAJRRdBmj+XU5eymG9TYxGoKJltABBCDITuarkF4E5SjcZUrdjI5DPi+m
2s77GKNMRB5mGSg3O9kSkEG7qM0JmHp5C6V/B06vXc+oHBC2uXihezhREd5kKCGpIx94d8UeZvdN
kzCnopn4IO1rsoRwm4aXRjrPZWl/yk2VrSz0liSzkQUqyBSUoDy70YiXbUa59GxxMyyCTbFIN2mU
gZSf9/xfa42BBkNM6yKRIvhYFZUzdvp9QgnSiXrWVQxQ3XmB4ViuzVxdJNqR7Eq8HRVeGRvZg9Uu
YrEZiBdzTO7JC1/zw0OESmYAF6l6guEM3SCDkUhcLdpCd97IZdZB4sKTyPgDrc/lUmKcFINRE1nH
ZpmUYkamhNGpY4TCE3MKuvaagmNK/5YpKxsg/QZ97q/sOAcvqrwE8KGYtwEDmhHN7a70K7J7sMtX
WgM0W+Y5ANvTwWLEm8PgqzHl1xGjn7HMgGKcvhnLVDjpcVzXw3DQDQzunOZgQqrVt6EkS2ss2xOG
tqfYk6dI62/xjP4WWmYOoxs4SmE9KeCQ60Dz08hUsEPWMDdewPVKDkeVUzwQyI7qdU4H3X7zLeLD
TZ7xWWvyjmtbBuikpmlRTMyJYJW3jCMN9Zpt43+x8qZVPzKu/96Ilpzc39+IPpfZXxgPl9f8dh8S
HzDf0RcjfOH5ZM5/nwfZyDLOsTpl9Fv2rui8P+dB7wMhWzZVaL22wLTHFPn7fYhKNFN6RJwwDeIc
/Cf3IXa8f7oPYefA5wGdQNHe5fOX+HUexGOVFJmVAN1oKXXVXrtRQf3YWnzRE2ui00EUJTsQkV2s
Ns8fmi7g02mK7tDRo8jkSCKIO07LIWXfLIQjBrh8XE8qebPxJqxb6upOUdW/+N2gH8tpuU1U2Xjr
08y7znOitH4XlI9O059rsyOiVPibHuzbJQ85o+BuhfciVMW+w5CyDXngbhohnnKMhYcss7t94tt7
QLpHe/Iew6rDHOwk1gaiQ3zJ4jFf87GHtyMpERi852K24qfKAQ8bWVOxa2e/WxspCU/BW3DB/B7s
RrP1D1XJ7igcuCKBwMgPg2aFmoU2Y1OBZSIM1acSG9TKoQqawtX8uqumfeobnwdunhSUYwcpAdS7
kb4yO2ebqpCO7LC/Smvj1JceVwVxLsuAg7Il2ltKoBtFGn1xe+frKOmRIOH/MazSj3glWFpFIZbC
MH5oHRpH7cygX6EQiqkzPKQzrCFD5m92iHFmLOSVxLC3aul3WAEF5JEFVHQXBeh3oDM+84NO1r7U
D6UR3DjZ9OLN8cEOMrwm2n4NpubWaIr+OvU8TIYtoc+K6K490/c7B/ONW/IjbfW4AXp7m+b2i2XX
oHbTb0YA84Fz7SrNxgtKNv4ZLbgehNjLjME6YnolicmCajOE/gV/EXuG3KEAWV6XY+5tS8IZK1dE
n3U43zE+nJJKMbuPMz18BfcnPh80xHhV6l1smtPtF5NL+HRUbZNuVRSejIDKEmpK6nCTudSERMp9
MxoaSToPFosx7d5hkkTS3bPZZ1c9fruVcplHrVxcg6tj0dbTmBMsa95wWfhObH69ZQXcLMvg2nUp
gvZqMqdsiitu69ARWB5zxe22WIh25rJYho/Nm7wsm4losc9cFtDDsoqG2XCw2U1ny5K6j53juKyt
wcqZj8Wyyg7YaYtluV0va27mH2qEAuoAlhW4zS58ooknXpbjqes+1mzLrWVtjpt3rdijO8tCfWAa
g9bPkl2xbadsmhVuC3EfB2671stSfmQ50C9r+qB1r0HLApNdVvgmu/w661jqs91HpRfHqoz5KbH4
z+xPjQguxhDuhsUZ4AzxHjwPZgE/r3HP4h8Ip2jjYSiIMBZ4pearztdEazXyxuZfUDmvRjXoY2oo
b5PFQlwiRKBN0BnRPYuT8Kpw6M+mH/Wmr2gjQOrZWhOneFaAQ7Zh1K4CPd7hNKLroNKArqYZYYMl
0MGsWofao9LZT2Hgb0woCkddFacwMkE4hZ191chwvqoSYeydEr5IWek7afj1bk6nK5yjn7SR27dW
AgWBp196NGLHX7OKuDK40IRjSHww0Z8rur2/NwWosIiv8Z1Kkjei0K1F0t5u69X7sfHv+elwoPz9
+fkDvLeuu/nPqsLyyl9PUQCkyKMSvJ7nM7X/pipYH2wKGT0cQ1gT3x1KP09RxYqVtSY0lh/oSbSA
n6eo/OChBXDgCRoL3wWHf6AqwL/4z1OUQ9Sm2Utit1TLX+WPp6gfGHAfPE9fijEucSnKmkk3W2qO
io8xvr6tlbB7aAjjQqjlRje77bFyxfe+NBlo8ny4GrLWxm4Ht6c1u0NI8TWHCSSyGsN7WYCO6FAZ
EpW8DEHNsrEHrUZFBMshZtKtyl0PK9Lk38LFe3JrHuDVYEP5TudrYolPYdhy444/Bon9mFMRe1Ei
MNblKIZVxxy8NUcRX+UZuCaecfRk+3deyoAydtabMOpuFyJqPhaVfyBecUr0OO1MimaMZrwHQI3L
gp5ZirZueowpoVPtXVpN1r2L80TVD4x/HCdTeW5cuJdha+9T04/QHJpv1FbMpAHCfqtY3qztOGDE
rB4cf9oxbaA9OvWqqev42GfqixB0oA3jQDyQMhZvJmMzwrzqxvxA87nYjDAzNllNYNmd74NQTAfX
ELw1Xdyfspjmj9wNb3BRXPkec0KSwQVujdckyXwGMYB3YRnvh3mI11WAgmP0UElExPTdIXV2GTjg
sOC5BEg7Uww5bWvfJyzbyuaVlufvit+ugyPKb8VQGYnma9QVzrqhVBhoXEuDGIOBrROxsnFVgium
0ChzaAGemoNX+vf0fpW3VS7O1ZiMW7MSGgLbMtXzGd5j1nx04O5gO/M3nuE+aR7eV1VPxQBbsI2s
ghtzcaRjKdoFcXaiMO12CLDfZ+Y+G4pdCYB3I9z4o+80Dowx9PVg6ZPxs2o3x4qC+emTVeY7p+i/
OMOkj7nd34ODxwU/D2/8yeN2tLO3XlXiUpQ5+3IxwUJk+AzS6OxDMr7u7fpF1AH3t1pYx3hJbkRG
rraVgk68nYoGrWwG5MXwWic9FVm9oa70kgMZ3yMh6j0eYmvcvCi8r5jkh6vetdnRql2tx8NCA55c
e9jYQf3Zd6gGAspHkEPzR2B80R12l4H4aOfyFnthsDfyaH6ydSlW1PsNa1urB6+Sp1ZMb1lUpRuR
uvdZwO1Bzv12ztl8RsNG+FSBwXSYFxbPazJr/9iW6nVUSEXU8TQbt/ebTSmaOzBzvMX1OSBOsVH1
oCmYoX8dhxDeNGcb4orlE+51yzDIK0bscJAJJkArwfdMB7fg0jpmzNa89FGHf6hzLLy8tP1Zhbmd
YRUdwg7CH4A/FRRXQ2JBcwbdmOi5W8GSba8jxwB2OdTum2kG6WNpOhoIojcZsG0izEf/nk5s6BCo
/4/T6Vv9Ncdh/xcz3vLKX04n7pyg1xVX2T9p3nAMl9DVj1/hVT9PJ+8DZbXgUhbvO756BrnfTicq
XuixE4ojDQX7HxrtYc/+5+mkFMgX/naMmoyZ/1k5ayd9geQy8qTOvIVDFLMf6YHb6WSxcYwt9oa0
sVej6/SfhyQ/6WaEzWR6CmEmpsBuCkFBFJ64D0O55S6KgjgxuUkzNk7Awr+6gTUD0GrfBlk1W5WA
ztFZ8GB3hjxzmyMv0tvVTo99dQNynmBX9EzxCRDQIt7FvneVt9aVU4vv6Tg9DxHisJNeqqzekL87
UFQA1yGBshzntua5TXYKBj1xS5NejdBHLub6+5Yo52mQxpe0N96GHkOcCiY2UESRVjyyXqHFhitg
qjctpvqNoPJtNaS4Y6mCeVma5Tg05PJk7xGzaTvbdFP5HOXlnSXDrSyhoqmJdqeqA4MZ1vsuPIfx
UWr7vmrk2c6CtxldcipupdA8ouoUtKHczWPyMa94SFrBt6hwH3uX0chMvk/hYmPIrDuvpojD6xi0
+rDBB8nVcuporuyyKNuNbUZ7mW9Xm1pOD3nYgm1UUIEwdiZrO4tqlg/My3PpzDx3WNE2RHC2Riub
DST8QxphE8kN0sFIzPfg4CwCCdhwkgk9V8SUybmlYZ9rOg9Jy4HbSj2hrzAXc6KNxI+M0twzsh3R
weNNbbfxDnyVe+gCf0qfi9BQ4dlq5vxjQk8jO0y2k7x9/bwebTms+jEeaO/yvjd+dBij/hK1XHzQ
oJGd2ncJqnbn+DXPSkVZDomzA+gZOI+NFLD1uZU3y2QeLjO6Xqb1fJnbsc8+1208HpAyvqTLbO8u
U/6wzPuGZvK3kAD8YjjaubvXddDts0UlqJELjA7doMMuAW5qLvZULIb3ucPlSTVWcWmQHKpFe7AR
IcZoKh/5BGDfdlS5ThatghLEZust+kWIkNEsioZKLRJgSfSmRQQiwZnMbeyLG8NbpBATUYQKVCBW
ftsd6kUxsWqZPVSyyi59qYrHdFFWmMwirMKoIogubSuR1rtFXojdwyjR5rvASOBpdThJy+mCrB2s
DapH13la+ls3toZTKwUe3jigMnMyv46BXlfR8IxTT2OuNieuVpSUhlynVtboGEdCfcOXNBnId81V
sIm9ttiPuky/pWx8D1kHJhCK6FU6ROOhxyu8hZO7ED4x+66k69d3gy2CayjG3tnrp5uGbR2+IGNa
Y1rjm5n3qC+mN25a4Ltnw5vhGguCeykgyu2/59GP84hD4H+dlv7ruoub/7q8xI3+q0OJl/88lIT/
AQo4AqLPNpxDhEPht5GJMmsyYTa6pGnjVUGT/HkouR8oFmGNwS9Q/uX6vOrnyOR88MD441kVyJnv
ZtZ/MDL96UhihvNcBFGcMswx79Ujv1hPa4uPHHGT8BJiYGisU+z8X2Q19px/OPaWuQ+RlN+I2VAo
bDW8Ob9Km7koTV9n4HLCVB2LqPN3lBYn9U7l43m0Rzmw2Zma/czlmzSlxnEtKMp+sNi3lBuPFd1Z
1cqHREz11bmrDY8ins6W1VlKwxyBInZQEU0tcHBhEduWejAh7kZ5vq0Nx9yPNJvs6zK0tgNYrH0d
OdUWiHmytyU27qKXtwlJr/0iBW26kmMlxvRucb6U4IGLfJjLh6Keo+85hs2dLTClJGuvwTRJbMqx
UPIy/msrNKuKbeTkpv3ASi2FMFyN1V078reIK4gEQJ8R06JPthanaIyIGDCqrSiVPNp9te+VvB46
KVaqNW66qH92U/ux8puHmtExLPpn6aLEeLKiwDF2rimI3DLhXUe01oswTI+Y5GI6XORpWFqPzRwu
XFjisaTrxWRDN0M/rl2Y4UkyramOovWrrC6wopODX0SULQPOkOnEBoQ9rYOQR2WreIuyMoOK6m+n
UhLB8fFeho4Nqn0c3T2tDPOpmvSpD4z9mKeH1ojDPSV09Sa2Z1IfGt0yPkNItLeB7VQwE/V+nutj
UMf3kVtl+6Rwi00IvLGeS3jebIeLZqy3dQTwuW5PESVlK3pk5bepT5v1RA/2muvfbtR8VBmUSTFT
BGMQy2ABeBx1dR6gwK1EQhQixXCCTIGcGCbug+ugwoEE7g4NtcKU5vrWJg8c/JFTe65kT+OuXx97
rj10RppvjuxeMf54+zqT+cn2aX1aRakb3+mCcnExOrFLJhgztBLGlZ8mYs9l4FtqRMdZcrMR6olq
sX1GF/BSDsb2iunYhqKSe3d9gd2QgzKpgy0Uv3UuSfkMmbX/f+ydV28bWZqG/0pj78uoHC52gWVW
oLIsyTcFWpIr51y/fp+j0C1ZtKd7qAsuMFxgdkayDslTJ3zhDXZXq7NCY+KN1FpVcnujCLhmjnIr
rd1vlPDXmUxlIij7QyOWz0YGbZV0nQDSHHVlCZlxo1ZQo6T+gFDkWHOllWN97d1vmT0eWgkkEyP0
5qVlXGP9iqlm/70FN9rUdn2kJxG6+cOZ5+KKqWHRRz7p3AEbvdOAgcC6VI4dPfWoo57ilYGrgT/1
R9j5xlgsLF+6QnT4WkdWsPeifmb43pne5upEDoiqkjY4qrPoAMIkxZZW+ZpL/pVtJ9dSjuhp2i0s
4XBn9YeFIx32vTxOqtCkYugsYzNuJrZVzVDsbQ70Rq8v9C485PsJ1cJvxLSo42pxMHGy0l+o5PQn
MJWiFcqz6l3W2dZtZWdQR/phcPEzR3a1dy20t/tYmYPOoLIQ1P6seJZGr7E9rQfgtypStp2QUG9z
Izhp9FGCMfKksd7kQm/dQ4Q5Ixwk/rSFIPsopNkx7foqVao5b1Ftd/0cZLoQcq91p2Ixo4vbCpl3
xLGBRqjGRS0jakCTtZh5LbLwCvrwbUZoKQTjwy4DK5IjIh+hJm8iKs+TnxUN3UWrR3De1mJz7QoR
+n7MUTMws++6B8TNpDXPlnN4RsaVLETsq3CIlh669qEQuB+E0r2wfUb5PkQB3w6hFGC6eAle+E5D
Ix+pZMBwIbLh9Q/y6NPYGEOsan38BLr4Tg1x9kZvPyOvbZ4E+BW8zt1OFGCq1J7gGHxcodc/DAHt
aiQjCvUhMet+maPsH6btXau5S0MIqo5B862qAW/gBYAxDMxA60bBI8Bo0htDmAYgpnXZx8NxiptA
XZBkSF144/nDQYDfQNv36xb/AU8YEcixeVHjTEC4etfjVJABc7FxLuhwMFC6DHWNsV20Om6APS4H
PA06+tG3UdgfOPgg6MIQoRfWCDUeCZ4wS/CFbUKIlD+wOmZQWCp4qXUFJP+w1nCOqQL5jpvgqBA2
DBJkjUAYM2Shd2MIqwZNLlcG3g0cNzOp6deaMHVIfOvYxuWhxO1BoSPv4PLq0nfP8YMj7VxFCQ1j
YRORqNEGp8+Z0QWrJqbPXjTuRsZZQodrGQirCXQ5sYIfzithQhHq1WGIK0VpmN9cXCparG/1ur10
dWsG13tckDvi/Bn4Z+CQfrgyvegBzwtZx0BPxQXDwQ2jwBUD1bcRk8Ns1Xo0sWxhnYGu+SzES6PB
U8N0syNZmGyowm4jTWRlkgkLDlkF7WQLW47ILm9T2cf2QLZPZWHd0aVFIbhgkKaEsQfV2vsASQOC
e0w/utxkvZARzAeZeFYT5iC9sAlRnxxDukFdI1Lp/ngTn/0dUKLzrANOFEIiD8TtfQhClUmhyelK
J2F4DaElcr7rxj/FPf70FiLSehNJDaxiMyJXwI4d2Kt12uSnffgvJNveN4lFJCW+himoQpCADe2n
r6GCOoNxhl+5jMC4bZ3iYdD3Vxgn/H62gA2+h3DyNtTPVQjH1EwoWLz/Kl4WDpoVteiMJRinoqFc
qezD4rrR0ahR4JaUUGD/Y1H8LAQhkAa/TiWuGuytk/TxY9tF/N2bHEIBTmtBDke39SlR+DOHwOzI
ALQJm1w3ZQRX/8ohbFQnNNIHRTXRxFFUmiGvOQSyE/wAtSM0k6B5wzT/BzmE+VPbhQ4OTGAaLwB+
HUGjE22ht2tfaY0ykWifnI6Gf6jRfNfbjMM1SmdjGmaL1jD1SejGaz2Po4Wh6Su5UZZBXp/6mN3S
DQfjpZ6nxEPESYddlW+iRr9DNXUapfW6HxUMb/XV6EOUiqRsmPqWd4dw0Dla1dHcTBLYrSYShj72
Lm7c5NNR6eKjZIjVSRyh+28ndXqTaf5R02T2caolZ7YfIXCROfJkhEsKvf27KRkLzVXOfCR7clrA
k9wJbzulBSmWmqfQtoCeNyjiIAQenDZm9mBmGZi63gfo5VvmNGgj5cAY7OO6tg40N7nShv5x0Md1
pTvfEYC96oY2o2rmLcEZHJnGSDepNU8R8D6Ma+JZxzeuNTYyHonfOt9cVG3ZTkqFDKFz7DPdKRHS
yU7DLjoJu3CRo0lOjZ0mSWjFlJpL6YZ2cA4uLId4Hx775QjjKh8IXqP6ABUZYIaYL3GHO8lCCp1v
vZWcIfpxrDd2dpIX53KmLZIomA8WlR/DWTRafzHA8YLbFUAXUjaa4sNcl25b3b2hmLowmwZsQ9sZ
Ky1OvgdDc51LsoYiHUGl0ocnA8oclOCbc7l3+1kFx+droR/QZrFr7luPcLyw2hNPthduBwIjMYC3
D0176Q/hnP9OPdKs4lldpF8bPoYL+m0aBWjLU4ZaGoHM3Nh4JcjDUdHyHMIQcGoo2/EsG2yQ/YN2
EdhI4nbug15goxCY5pWemReSagEErM1jBwws/DwMHfy8iImq/QsJ9rQR1jqSVhCc+yK8st303pYh
G7rJOR3BhzAtv3oOVGWMx+hP86VWuat0UwcC5ARwhDe1VHWh6aL9ZLnTGPYfmj3NbAS7YozRUtaR
cVS1eI6lzgC0tHmEnpLPdBMetWzlt1mWzB0lj499UBjTIq4CoLQEAmkPhlOraDdK9FER8SebMZE/
WNOsI5qPLlBisKfYgQP/CCQU+XrgkXjMNISu3N5oKh0riKESuN0GpnWMNNkFugDB1AqcZCop47hM
UugGqVvizzykrExN/ZanxaXd8uCNzkMNYTxB6gF4qqTM4J9cOLl90cBT6DRajYrrHliRhHQ9i54c
Fa+X0caUR0HBQfUiUBYdClJhgcOONA4bTxurKUpI3jRmRic1+Li6xV4gMufKYOU0TnAI5hJcBqOa
zIfogkgfDLRORjtupGjY1K155fXtVRRTTeztM3y/kDfyaPV0KpGKFkhfCbZTNJ+suUAN+kNrYtVU
4A9DBMZjb6HESMOG5zocgtygYgCYBGtVbaZK+qPaV5AppTUQpHQe2EM6l4dxg2vyashraChmMvC4
AnisnYUGTpkBHS+6y8TCEKSoamXpqh6OxDQbpl0L2rxrWIH8/Ica9wMXpzBCw0iIDFu6KBr5sUpY
ErqZBPSurOu8LE6qGJ01VYHXmcunltQtqhDIqqTG+jztLHVhKrB05LE8dhXKG+A3ZjiX2kdFypeO
4JVMmzq90ynrLjJgVTMvsJ1p25Y6kgneytXNfpUpEDpNBNccjkY9ChYFCRWmxfp6rP3TSiBOSdmQ
wQi0SzoRHXk/fdFKXoalfpXj4UVWdql4hTrNRprccmZtAJIhNuNj8a6DXQlkWLZycy2ZozJFw6aA
70o2Xhos6qhy71pzvCvr4sKvdG/lxRIISqWZJxxwRLHNZW4rCUw8ni+WHTNbw++powM3gdn5PSxj
jgpQm75zykG39Ao/wTWruhrc7muk1jdlYWs4LTQ3ujPKK0XtlBlUCf9oRLeXaqtvTNE3EvJ3BGqx
oh2UVXiZmtpyzHEucSPlrosomzhxuDDAhCN+EYmeMVqfpfq1Nc+76nB0b7vgSPe18zTEAZz8L5SS
64DSiKmk9dJMM3DqWTXNY6VayaH5qHDQz5XeOWsDk62tS+5KMojYLSQjUAoLkFXCNCJzuuMqj7Ee
UFdWH3P8gm8aB+UyNQDvYbI3QQHsBkwRjmRFfVjUJ3C8JrWBrp1nkXYjADeL4T4vVeDpU6MMbpRh
XMZxGR4jkaBQgyrXDjyuBQlptIAsHcKs0jSokDZPy03mXe4dGgLbX4F9pu2ceTgIDY2GFkafPdro
Jay7tAamhnqcYd2EWdIt6QXQXK+LcThRfBlF94rnbCFhhyJHPQ8CV+AbqkMXlN+pAoziVB6lceWS
BB60GMfHpW/bm0YfhuXY9yrnMXwOLo8QkRS8CwxlrebGAafRoemydGwd/i/iIDOp1EGMWzknRIvr
hl5JK7/QT3S98lapLz8CUXukYfadK0fY6PTA3aVZYpNnINWi1XzGSlOyGSzU+z6A9mp4/lKVQ8zP
XI3jwTNvyV1aFJZg33YFEGckD0mCAGG3UgCV00TdYhbn32v5UNHdi8i1VhIoO+TYrFMt791p0CTK
NIrla6afW1yJH/M+PGxVz1pQGTwvK3MZ2hW9bM2C6N7LERUuWTSkyOuVortNa5DrfSyKVzMzNq4T
pzjD775GZSQCamYucNU6a9knKGz0C6XOr1BbvOdwPaudLp3SmcIixSwuAI4sOOCUZaeXXNlKdZL6
gBOtUVmlJq0uenqnloM2XOT6Dd2TaJiXPcB5zv0Yya8RWoFZzZOe9mFu0swKMnUz0q8Brt0t8WHh
cLbNE4Lc27LMj/EmssBTS3OF9hHY8DuuFvRagO8V7RE7d2WhOQQoxr/OxwrRxCBedwpXbaQcB259
5MbZjZErt51LxY9K2E0FTyXrwVx0gSMhNwi23zG8r8kgo64hxQdjcFjq5br3vAXGN9GsCexz38i5
oyXzusnb9djT7EuD77EOAT6iOFppwzH0g2Y1lEMND9xcJwrEQTPhIJT8pWwEqPwZ+irK1ONOHo+a
UtPAEVJUMJFlDLskOdNceZx5tY31RVeqs9anbNc26BHhzkFZLEmxI8P1EaPAclXB5JiVcvjd6ohh
7L45s/JKWzplmy0hK1bHSYE8ZqF1R3Fo2RxK7jKKqag6SRcSc7o1m8uIcXi7Mmvp0AysZAm988Ah
2hImg1qI9zbd0xel7v/g4ET/5dfp2GXwWJabj8mY+KvXZOyJWadouEvZcIhRnX3X0EGeliASywtd
FRy5Pxs6zhds4m3Lpg3iCOIvA74mY84XBkF2Vri4kXP/s2RsC8qAzN0C6QAEDrIens7vk7FR8xNf
zQL5lNQwQNxzpKuifMu8B5QGRmRG2M/pcSDUBgJ0GI67nJ+X0Le4uk4b2K2UNC9ipAqQraBAjnZB
Ffm3aWksEQe80FJ7nQuVg8q6U4SARoz8wYgMQm1QXcU/i8DFIxno0ysUvHBMduR4WhRKPZOD/I5A
YGYisGAQ5UN+2ozikkGAQdUlejpIMvhGOqcCaE0jwq2qocgYIt8A8nzVCT0HHKTOUGq9CyFsjAg+
OAg/kDMn9DbVH1KX3hRl8xVDRhxCEYsoHWkxIh7BmWZN+GZLcrpm2jnoOAUccJoL7tVCfKIOaKpI
A/y4VF9ayFOUVQuFCsGKolN7ZAAG64C8BrUVF1C0HFN866QVSQrINPiGq0aib6Bj7fEkimFedHlz
gQJTeR0jmxEL/QyTdi6o2Bs5MY4wj06mudyvPaG50XlY3BrIcBAChzB1myNusAPTwceiQLJjUB5o
WXzzEPIYbAMErtD2GG3ax0LtIy60dYz8hyZ0QCgZXT8hrDvyjKmEnmgtVEPgWZrgCodViKAI5lvz
HIGRpmLOPKE50j3rj0T0tsqTuq/hortWmC1rA+1bSvfBQHshl+uDzLa9eW05A+aRNYd+kcklPpuB
jv9TVWm1s4nbojsIa0OtZ2Yk98mk17pBnyZINWHsqQPq9lFjzQWJrinAoWXafeqXBZaMgK40zl5R
Y+S/dZTgx+oex1h96kTFDwH3xI8inA1I6E4swaQB1n1hifzW0qwTyVdtQM85YxB0ZpJ/G/f6XWr3
6Nn07SWYNJ8ULQ9memE8hHn1QyU1H2tuvNaKv3oo8k0oo4BJJzqPaIGWqRTMoa9pc91ooWlqWK45
0Ur3yzs7MuqFJunx3HDtu6FWsVvTTcrvVveA2C2pWtz1rJzamYFBt6dy6Hjr2JNOvLu4naUeYOs+
fNCB4BsJ64WeCsjQIzNNl2GWn7daSA0akliuk12Y6IPRQ5pYJP8wN80bN0/ipcFPbKW78cbiPHAJ
hHWpOu6qu9QwwLAPUnYkWdYYzBiqF/IkMwlFYqBq8USSfOxHyx6CZ0chhS7ZBega7yDyiYzN9GQs
88M+zX+gRloikdKW8qIYovL+6Tj9z71icMz++l65evQ3yZZ7RfzVn/eKQAOACtOFyATmYFTy/izy
aWhGYpIpMM3cLuI2egEK6PIXHfi0bevcH09lvrf3CrQ5yrcoTCDp+A/Ra4Yiqr5/EftBaeumaYh7
SmikAzAGQve2yAfFGuFBPsZpi7RUNQs17doz5FWYphL6Kt5cqYFAGVKLynDbHAD5UiZZQldMaZ3D
2ojMac61ufBCDGSlrFg2IRy/VAnQkjKTedjk957aUzoca1STl6aZNdJMk5qvFbHPxUBmuDRLE9iL
PpgHYW8Bt8V/PLfaco0LfEP8ruKfZCnfa7f6IUMsXKG6eFKqoQK6N4OiEvScykp/brWheV6wl6Ze
1NkzOaZOUtpo0MSOgE0TxmHdmTsTLLnmdh8tQq+RVkqI3lQIrhScWPCgpGrfzCpBfa3TsIVC42Ji
mo8wQjUwd5GbKqeuioBk36T8zHfSlaXECuWH/nwM4nRSWvRRBgcCzEi7QgjOFjNH6zjM3dMw89mH
6qouAUbVqbqpMQc9Mj2qZFndGhj0hReZUU3p/R21EgpdpQk5PkjgPo0+ShBlUwKSQr6rRK93LtuS
iLQvnbJc5b5sHxjFeFZ20TADvnVDEe4+K7OTgrYm1Ub/EKzImVG7V14LL6frSvTFnR9lrh/IjbM2
Kri3aiWZ8LR0a4lt6m3YxYdmGtz1YU2H3pF+9J6Npl6NumPcfjNS5zFPkRBS0OyahmltT1Ks7CZt
TOyq+Z5/HKCBMonwUoZOk53ZQ/g1kq0EJWHuP/R9e1COTjfHL3OcjFV1Y7bVnW32CGWq2TzChXoy
eIC38rj4mnFGLxIZlfneNr1ZJfdXGY8+jtVWozorE+qP6EqaKKhPPb05yytKALLVhfNybO71vL5t
KfFBxtYXrqY85G5EjYXy7mHqqnRKbQTqU6tdmL3moiFWebw92leNTIglu3pSTgKFbl+uawcS8ihL
z06AB9oZGyGzfwwhouVR9V0Tot2O21ELCCuSFbP60aW5yacFJMnez6d5GsULOKgT03eRQS8dtD8D
9oiLcNOkzfxx5ioIBAiSAhXlpdfSoPft/lRr3ZVqpNSv01MzssGYBYtGPUiSmdutHcas9PoyL7oa
qLsFbcy8sZzklGIRZHktHGZuiF8Ifo9yETxWaX2LQysy6j38mizMYYmTIU4zB1GzOgTIHuVrelHL
iqJH5TUHUeEd1wmUckXFzBAkgRq3KxjuhFdEW5Oy70+TWB0PbTm+86vgxDDzdGLKnXUAxexYdZKT
oM6XsaTVaNIN1JSiaBTwavrtvoKNiqcEB00YHKtNQCUzv4uVnqpLV5HlKe61bhk3TVmdqkmkL31A
ebM+VExof3DHyxRpL/RdaNc29dLTwdA45thPIQpfdKZ7M7p8Pnze4cgHGkcPf+clAD69Op7lYXTg
juVjkWr6XB2h5xXUZWRKslMf1cuJw7RO29q/UV3tvO6oGmhBM8wRrdQxLC3NVVTIPwzFOdKD4Djw
feT0Y0D7cYo4bhLcjaZ25QpwbOni8Fpg8Ik5gXIBVusOoxvCMy09VyUgMMpocyk3y1qAEYrUdikd
t+el3yzdVL1q/YrQRfIg+9mH1LFpgVjJeVxg5GsF0qHfxdeBUaczue4PzcEG4oqgZ92rhsBUxlMz
RSUnprozG2V/DSID4D+lbMor8Q9vdK+K3ENgUCHQ0QLwO70fPpQ5pMxMoQFvd+OMZESdprQEjjqP
uk5t5wurA6c/FuP5oGndXGqB0kaOd9kjlt+owFLc/Mhxknah5+UhUkyoZii+R5KAV7nWmZghm3gH
UJu9TYhBak/eFFUfLHsVd2objwx4mteq0R6PFg4AqQoOqNUXJeAWOJ1HQV4S6br1amQRTbuRxJg0
aUlf435U8rXhcWb3jgaxTJR0ysc6DNZ1TybSe3MLb3IUipopaiV3GbgikDvo93XgOSJ5ZdWcpl69
0FsWAUAVTu4cGwpUB40ojcGZWFd5E6xH3XiMag7KQDMz2OkCzENVvKblrsATmPSVc1o6o7dU9e5r
zLqlDgwU2OpKQKgqpqrgO7ELaIkpRwBcg7fh7iznWeA3GG0O2RwkIQ0pW0L4DK26ZVmVt0GkXBpp
E1OMda4Vq74LMTyfUFjrqTuzNGKIoJwgFABV+ztpT78sIeHx+b5TmoIRYWcPFawHSkEQHVJfG0/S
KDQQeC7OuPOAVfG7LvePaoeKPokCNA4pmztJ8+AK7WXZKh40Pz0NQ6eaupIboc/hrhUAM6j5Dcg5
Zk4LNq3WEeprgAHVnGCubeAzJ7PL8iAFS0GpuvFWA/KIc4tzUgKi3Unp5ZCNPni88BuaLPcoXk1J
bvH6c4G2hJRDR7e9VKgXTdFetEBNWwfIrnEVpzr8LkIjJKbHYWpKSnUqELTekPzAZjObott62lvI
nNCFOJZRG0BhMv9BzwAKlu7cdZmkzKUC+2oINJvIByiSA12QQWScl3a65jSvHHett/7SD3QDKZTG
tw/AajjFSRbHmW9OykAm+aLu3Y5zWXEK/9mE7D9xtPFbJshVE2/Kbc3yNywQlN+AeLANNFC3ovH9
VxwNFpe6CDBchNfM981y8wsKsJAzZNHMFqquf8XRYHFpaUMMQSSWTruu/JNmOeKyP8XRvLGj6GiY
8J+ggmXa8m/jaECscpEmWXOCwgyHEYCocuDgiaIarcsWwGUZA4Wi2D1k7joo7W5mKF01LdP2LKmy
AwuS46QyQGQImXUEMY/8JlwPFo3CDKccWNAPrYykkpS19EQl/D7cTl1nowBsyaY3TSrBjpSBSZnf
1Eq/pcwO+8F3iHtiepuONC5iXZIAb/pk5CUnEgoWEwTJvhp2+i0fsuvWBwia1ZRvXdNE95QOc5/e
1I50gyD5ETgxXASDdRv5x9QPvlWZnQjN2bNSM9DY8WwkHmm+4vtjLkn4cY7L7ijnDnOQSbAQkUSn
9dmBROquBxVHYcwiFrqOeYoawgqG/xxTrLEfCr9FADM2j6s6vupSdOJtz5gbkX2BcutDUTlnFDAA
3BcQTmQvrOdu153YeXuLxuW9W2d3bqGeVll6ryNNMG2i0ps3NNdWFZ1xL4cJAXBAD71vsQrWL4/t
fNYhuMQxmN13irOmXlTPkoG+Zq5qmMHpCSFvwdGI+eExjHjEVl38o+PZyI20GLAQksvu0HOclYAA
DmP7A7WbRysprzRQs1g03CbemMwISE8IX6eOXFIb6iz6iDLdA7UvzHOC37Xv9D/i0KFNhcJ9hvzn
tClDCCayeqN7xoVeDy7FrehK99QfjWq2BwNafhPVaJqFrjW3iQQENvMpLhjmoqkBNJIohSRb8R3a
89FCzRsIeIaMgqVF2U50S2Wd8sEYLWSLLiYI72VR+2jKRwAcm5ynltRqN1UNc9boRFAFOFMzqPBK
qvKjwE2KwzGJvFkZupBgu/HCio1llxqLptCLqT7SN0dciP5h3UMXpD8340YkArE6aWqPLOKh4hkm
au7Nu3K8BJzNu6Y2wMR24crN5Whrh0GHfr+lklVVhevNvBhQItDW+zrrb238Ruix5d9lJSshILnT
suv7SScHKyw5YN5K/kpGHGkmWVgByXK2NAcZGVScRAB4OyvYUQMcePsxCYtju8+Qfa3CfI7W1oHp
DQOQEEi/XoLAcYEav1oG3LekFciQf69EP0Au0SDWx3w8S3pTPdJTurE9JWXvIFYdX5tFUXej2lHZ
glSv/OAr0+DWCHxYOB6ZgaEtTJRY0yuriesMOlEOasQp48qfKnZinXFJBiY9ITB+WtF7d0GTz6uY
JTTRfd09yatqEtbEUzY1KdnwVr5FFOYXsoA7G/05+HOEn4oANo7VavTF7XickTxVxUGDMCXwjQBg
3hT+QoyazYB8chefZ5nZF0vUH9TbqCP5WcdpDmUHpxGYv6Z1L3sNmmj4KpTU6iC/OkK9RzcKGoGq
5V3JtRVXd6rbergHa6MKAldOTPcb6Gp6z7IKjIg8vKe7+/+l7PRyo8829Wb+ZBF03jyWw8VjxTOr
XkFX4rdnWZDWV9m/949+P9CLOdHVkD/+939tHiCWz4KqLoP7+m2nw+BS/KmG9fSZnj7w74aIN1gf
NQ+MrcH0F2UiR0HXVLy4e+Ms9V5+LSlcwMDYVIubDywjr7eP8Xez8Psv+Dydv/83v/4GInZ4ejR/
uTfJP0chf2cm+Js3U0GooaiUnA2B2uRFQPFuKlTlixCfxfCQSaJy+Gah/Gop/P4LfvIkiI/9byyH
95NgfbGJpigXak9zIFR430+C+kUFuIjE/l7OAbEgENx3Zd1/vBB05YtlCLMfYr2n14c50L9gTKAx
B3s7CT/Xtv/xJGj2F9qecHd/tRs4GCxeOD1S297D3cBKeN6mzx7efx5V/+JwfL8bbAr8FmV8m+/4
fhvIfPunXu3zubmfJ4LBKt15N8hkYKLDoZFqiZeYobc3BGJsGtkbGdjzztu3Y1Gkh7tOguaw4x0Q
gAqj/WISZBzSabWRHO7lbjB2PheZBKIAgxT9VyuBC5Kels1q2dNJEITd3S4HzkWA/SpQ/F9NAvB+
W6wVfW+3w/MS3e1cRGbDARYDlVG8PoRK6hcForRBU3RPV4Ky8w1JI5cCk4IuCA/6/Ymof4GXTNUK
va2n157OgaAJ7bwb8EQEAPQSLYoA9P1UMEmieAbk4+nc3Nd7Un5ep7vsCeqR1Bo5Hl8SpZ+nQgRM
EPcNW9nXK0LZPWBSedyqLdThn+9Jztt360ExvhjMEViFPV8Pu2dSwowMyzEsOX+aAwImoIhCo2hf
0wdhnLbjwYBMoIxfC+q8z0fgh90g7lH8iwGn7Onp+KGv8c9zKPOLpkHmE2ohr6ff+91AWAkolRNh
XwMmZfeAyfiigWUSYKRfToIIJrD+eb6O9i9/UHbPH1gJRIxAfynZvYQEP68ErD0AFQsQ117mDy+3
1i43JB6MXAwWbbznlbAlk6RrpwC63tfQ+YMm679zJgDxo5v4ZNfMUtgSOlNvQCzI2ddJEB4zu90O
AgNJYUkILD2/fg4TQOyb/Fqngbuv22H32Fn/ggapiofpy5nw80rA9UyFD65bbBnx2tfY+SXR3eVk
4JsaJAmAXp/XA1/13fFIyASMA9r63ibVL4nuLpNgfqGwQFBovdSYPkwCBlEmWTWdmD3dFELLYLeT
QTNQnlbhQgu5NPHaMgkmgQRNmH2dhJens8tKAA8j+EAGNmBPr59PBrYDKBkOR3F77GW0oO5cXqEz
yVJnM6CesXUlkE87Jvh6lYDi6bWvU/F8bu+yHkThla9oWS9Z9YdNoVGetkxNE+26vVwP2u759NN6
sCyaUs+Pm6/68x2hYu2tO8C99nMSXtqFu6wE6wsONo6JJMPzJHw4GYisbAr0CoYx4rWvUyEEaXa8
KWhQWlQXyCx/Xgj0b4GKKtRg93Uh7JxV06PG81EgElEDEq8PRSbadmhj6+TV+zoJu2fVImwUKM+X
zfABrMAVwZGA+Kq8r8GCkHjacR+Y7AN2gia/NKQ+5FIKelNwIlEG29OVoO9+OXBDasLnFC720+vD
ucgkiBRD39us+qV7vsvlwHZwqDExCU9nv2h2frghSaoF4X1PV8JLCXCXSWDLm+ikaQIWLl4fJkHB
IkCo5e3vSngO6neZBI02DPk01ufbtwOIe9vQKDHtbYDwwU/5n1fabCG7Labhpfq+bSUIfgDWyc+v
Pd0Ugg+x4x2hQbCQUZ98KcF/yKpZDxqABqrP+3pRClGMHSeBfBFhdHrVL3fEhwRC/kLZgZhKmFDx
XvvXiBDyoTtOgrDv4iKkzvTnon9/RxBYyhgxKHtbafvgPPPvnAwG1HtKaS+Vgw8rQUTX4v/oW4nX
vuYRLwt1l5uChj1EKYOm/U/BAkcCqruI/7+ulH3dE7unEcB1wO7xTV+qzz9fFEwFMqkyl8m+zsHO
HRmqbbDVZUtoRbxehu/PBWG5K6Nl+1LJ2cPD8bn2tctmoO7KXtCRdHra9ttiR9Whies4z8Hlvp4L
+u4RJHrDugxExfxVr5YwGnkTEIDP77V/60HfPWLQxZoXZfZfQ7pMrFJ0pL1fN81exg3CBXvHuEFI
UyOPBhPoF1vj6SIxdWr2e3pIvpSFdzsfRDsW+MKvqq/KF4HmIbnc1wjyg5jePw+ewLWZeBzBifjF
SpC/8Eu2jVAZ57Wvh6Sxc1olEMDAergyXrb/hzhSJaMAAwhvYF83xc71R8GWQjyRpu0rBvinQJJm
pck9YtC73tNJ+KAE9o83BSsBRCs2D6/1RyLFn8MnGAEkVQINuM+bYvcMU4g5CFcB+hOvX/X9VMjw
hVRFQZ17X9fDZ6QU4gjU5F8RJERnwqH0hBfo35+EvxFj/UlQnvrYsDxRk5F/2sZg/tU/eKWsfvz9
G87tE/P43b8UVOXnN39m5or//T/vmMvqU0HlzW9fCyxP7/Ty9y9f8eObv3uz1+/1+sMVIrCb8t4f
nn4xvHzQExxo//u//jfm/z1sfmYMi8Lo68+20KzfAqB/PzpqN4+vA72hIxN8/vVVf+Jw/+3Bk81D
Vr4O9GZwbpOdB8cprN72wflwO4893cSblkdSvY715rOz6XcfHwuW6sMjJdxg437C4Gldbv6YZlW9
7S24MHd+i9lj/McJjnjb5p9Ufufx5/Efs6xk8byO9Wb+iVF2Hn9RIim3bXAOs50HX8aPafo6zpsP
/hnbddUk37P4of44vOCD7fzRD5L8sQw28etQf316Qa3ZfXj8cl+HeTP0Z+zYo8dyy5wL7MDOn/oo
SL0tB4EA1e889vEm2rKHBFT9E4auqsdtc/IZG/Q4q/7439R7jB+3zcxnbNH15oED+HUe3qyWz9ii
600ZbJuaz9iiYmycNrZ8dIEp3Pmxrh/Th+w+2HZ6CVmPTxi/vH98eB3or3kX2K/dB8/47K/jvBn7
M7bpOts6J5+xSxm6fiwfhy2f/DN26skm37ZaPmOfnjy2m4+xo4Gk8+t32SF2PC03HAGvA715nJ+x
Rc/izf3jlthR9NV3XodnmINsC+5Ek3bnwS8CQscqeNgyM6ITvvP4l5v7kpQgrbfcpaK3+AlvkP4x
eUSobNsbfMZWvdyINyjTTfmw9SDTPmPTijeZBY/eti/xGbtWjL9gB9wH1f229/iM7Sve4zDbFM22
20r7jD0s3uFfG8s/aVXtcFKId1lv6sdt8/QZ+5nx680fk035fbMtZhCdlM/YFbzHFDXQLYe1qM1/
1juUzfg62F9nqiDu7f4G/mZrTihEdnYf/HdGNjsvoKCKgiFrXj/nm4n5lL2cxZtt0YPAkOw+MQQm
25wYRFNr98HrDb4e8aapXgd7MzWfcQ9fijLLlntYYF53/vS/NanYdc1cEeMH9ZagTTROdv/ov9MF
3vmj/96jd9fhv/Ltm23HmPEZF+9dFm855wVhYudJv2u+bzl8hTLUvxh6W1n2T4Dcx2Ltq7Dhtj97
X4sW/+I+ftyU//N/AAAA//8=</cx:binary>
              </cx:geoCache>
            </cx:geography>
          </cx:layoutPr>
          <cx:valueColors>
            <cx:minColor>
              <a:schemeClr val="tx2">
                <a:lumMod val="25000"/>
                <a:lumOff val="75000"/>
              </a:schemeClr>
            </cx:minColor>
            <cx:maxColor>
              <a:srgbClr val="00B0F0"/>
            </cx:maxColor>
          </cx:valueColors>
        </cx:series>
      </cx:plotAreaRegion>
    </cx:plotArea>
  </cx:chart>
  <cx:spPr>
    <a:solidFill>
      <a:schemeClr val="bg1">
        <a:lumMod val="95000"/>
        <a:alpha val="58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xdr:col>
      <xdr:colOff>1517650</xdr:colOff>
      <xdr:row>0</xdr:row>
      <xdr:rowOff>6350</xdr:rowOff>
    </xdr:from>
    <xdr:to>
      <xdr:col>24</xdr:col>
      <xdr:colOff>577850</xdr:colOff>
      <xdr:row>43</xdr:row>
      <xdr:rowOff>6350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752600" y="6350"/>
          <a:ext cx="13271500" cy="7918450"/>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2019300" cy="7918450"/>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203200</xdr:colOff>
      <xdr:row>4</xdr:row>
      <xdr:rowOff>98072</xdr:rowOff>
    </xdr:from>
    <xdr:to>
      <xdr:col>1</xdr:col>
      <xdr:colOff>958850</xdr:colOff>
      <xdr:row>6</xdr:row>
      <xdr:rowOff>123472</xdr:rowOff>
    </xdr:to>
    <xdr:sp macro="" textlink="Pivots!G4">
      <xdr:nvSpPr>
        <xdr:cNvPr id="5" name="TextBox 4">
          <a:extLst>
            <a:ext uri="{FF2B5EF4-FFF2-40B4-BE49-F238E27FC236}">
              <a16:creationId xmlns:a16="http://schemas.microsoft.com/office/drawing/2014/main" id="{C51DD974-0AFB-86B1-90F7-CC763D94B6F9}"/>
            </a:ext>
          </a:extLst>
        </xdr:cNvPr>
        <xdr:cNvSpPr txBox="1"/>
      </xdr:nvSpPr>
      <xdr:spPr>
        <a:xfrm>
          <a:off x="203200" y="834672"/>
          <a:ext cx="9906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E82FA5E-5EF8-41AD-B209-E6B887ADACF9}" type="TxLink">
            <a:rPr lang="en-US" sz="1800" b="1" i="0" u="none" strike="noStrike">
              <a:gradFill>
                <a:gsLst>
                  <a:gs pos="0">
                    <a:schemeClr val="bg1"/>
                  </a:gs>
                  <a:gs pos="77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2,400</a:t>
          </a:fld>
          <a:endParaRPr lang="en-US" sz="1800" b="1" i="0" u="none" strike="noStrike">
            <a:gradFill>
              <a:gsLst>
                <a:gs pos="0">
                  <a:schemeClr val="bg1"/>
                </a:gs>
                <a:gs pos="77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1</xdr:col>
      <xdr:colOff>495300</xdr:colOff>
      <xdr:row>13</xdr:row>
      <xdr:rowOff>69850</xdr:rowOff>
    </xdr:from>
    <xdr:to>
      <xdr:col>1</xdr:col>
      <xdr:colOff>1485900</xdr:colOff>
      <xdr:row>15</xdr:row>
      <xdr:rowOff>95250</xdr:rowOff>
    </xdr:to>
    <xdr:sp macro="" textlink="Pivots!O54">
      <xdr:nvSpPr>
        <xdr:cNvPr id="10" name="TextBox 9">
          <a:extLst>
            <a:ext uri="{FF2B5EF4-FFF2-40B4-BE49-F238E27FC236}">
              <a16:creationId xmlns:a16="http://schemas.microsoft.com/office/drawing/2014/main" id="{28BCDEDF-C296-2662-9C40-6D26EF0A7C01}"/>
            </a:ext>
          </a:extLst>
        </xdr:cNvPr>
        <xdr:cNvSpPr txBox="1"/>
      </xdr:nvSpPr>
      <xdr:spPr>
        <a:xfrm>
          <a:off x="730250" y="2463800"/>
          <a:ext cx="9906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4A3430-B17C-41CF-9C01-928CC78CE25A}" type="TxLink">
            <a:rPr lang="en-US" sz="1800" b="1" i="0" u="none" strike="noStrike">
              <a:gradFill>
                <a:gsLst>
                  <a:gs pos="0">
                    <a:schemeClr val="bg1"/>
                  </a:gs>
                  <a:gs pos="77000">
                    <a:schemeClr val="bg1">
                      <a:lumMod val="75000"/>
                    </a:schemeClr>
                  </a:gs>
                </a:gsLst>
                <a:lin ang="5400000" scaled="1"/>
              </a:gradFill>
              <a:effectLst>
                <a:outerShdw blurRad="50800" dist="38100" dir="5400000" algn="t" rotWithShape="0">
                  <a:prstClr val="black">
                    <a:alpha val="40000"/>
                  </a:prstClr>
                </a:outerShdw>
              </a:effectLst>
              <a:latin typeface="Aptos Narrow"/>
            </a:rPr>
            <a:pPr/>
            <a:t> </a:t>
          </a:fld>
          <a:endParaRPr lang="en-US" sz="1800" b="1">
            <a:gradFill>
              <a:gsLst>
                <a:gs pos="0">
                  <a:schemeClr val="bg1"/>
                </a:gs>
                <a:gs pos="77000">
                  <a:schemeClr val="bg1">
                    <a:lumMod val="75000"/>
                  </a:schemeClr>
                </a:gs>
              </a:gsLst>
              <a:lin ang="5400000" scaled="1"/>
            </a:gradFill>
            <a:effectLst>
              <a:outerShdw blurRad="50800" dist="38100" dir="5400000" algn="t" rotWithShape="0">
                <a:prstClr val="black">
                  <a:alpha val="40000"/>
                </a:prstClr>
              </a:outerShdw>
            </a:effectLst>
          </a:endParaRPr>
        </a:p>
      </xdr:txBody>
    </xdr:sp>
    <xdr:clientData/>
  </xdr:twoCellAnchor>
  <xdr:twoCellAnchor>
    <xdr:from>
      <xdr:col>0</xdr:col>
      <xdr:colOff>203200</xdr:colOff>
      <xdr:row>7</xdr:row>
      <xdr:rowOff>141816</xdr:rowOff>
    </xdr:from>
    <xdr:to>
      <xdr:col>1</xdr:col>
      <xdr:colOff>958850</xdr:colOff>
      <xdr:row>9</xdr:row>
      <xdr:rowOff>167216</xdr:rowOff>
    </xdr:to>
    <xdr:sp macro="" textlink="Pivots!H4">
      <xdr:nvSpPr>
        <xdr:cNvPr id="13" name="TextBox 12">
          <a:extLst>
            <a:ext uri="{FF2B5EF4-FFF2-40B4-BE49-F238E27FC236}">
              <a16:creationId xmlns:a16="http://schemas.microsoft.com/office/drawing/2014/main" id="{9F70CB91-D4EA-C515-E16F-481DFEF74CE0}"/>
            </a:ext>
          </a:extLst>
        </xdr:cNvPr>
        <xdr:cNvSpPr txBox="1"/>
      </xdr:nvSpPr>
      <xdr:spPr>
        <a:xfrm>
          <a:off x="203200" y="1430866"/>
          <a:ext cx="9906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F345043-A358-4C4E-95CD-688DADE1CA3A}" type="TxLink">
            <a:rPr lang="en-US" sz="1800" b="1" i="0" u="none" strike="noStrike">
              <a:gradFill>
                <a:gsLst>
                  <a:gs pos="0">
                    <a:schemeClr val="bg1"/>
                  </a:gs>
                  <a:gs pos="77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11,997</a:t>
          </a:fld>
          <a:endParaRPr lang="en-US" sz="1800" b="1" i="0" u="none" strike="noStrike">
            <a:gradFill>
              <a:gsLst>
                <a:gs pos="0">
                  <a:schemeClr val="bg1"/>
                </a:gs>
                <a:gs pos="77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203200</xdr:colOff>
      <xdr:row>11</xdr:row>
      <xdr:rowOff>1410</xdr:rowOff>
    </xdr:from>
    <xdr:to>
      <xdr:col>1</xdr:col>
      <xdr:colOff>958850</xdr:colOff>
      <xdr:row>13</xdr:row>
      <xdr:rowOff>26810</xdr:rowOff>
    </xdr:to>
    <xdr:sp macro="" textlink="Pivots!I4">
      <xdr:nvSpPr>
        <xdr:cNvPr id="14" name="TextBox 13">
          <a:extLst>
            <a:ext uri="{FF2B5EF4-FFF2-40B4-BE49-F238E27FC236}">
              <a16:creationId xmlns:a16="http://schemas.microsoft.com/office/drawing/2014/main" id="{CA7A589D-4DB5-6CFC-DF05-FB516DF47A1A}"/>
            </a:ext>
          </a:extLst>
        </xdr:cNvPr>
        <xdr:cNvSpPr txBox="1"/>
      </xdr:nvSpPr>
      <xdr:spPr>
        <a:xfrm>
          <a:off x="203200" y="2027060"/>
          <a:ext cx="9906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3E0A98D-0EB5-4B27-94C1-5334280B7104}" type="TxLink">
            <a:rPr lang="en-US" sz="1800" b="1" i="0" u="none" strike="noStrike">
              <a:gradFill>
                <a:gsLst>
                  <a:gs pos="0">
                    <a:schemeClr val="bg1"/>
                  </a:gs>
                  <a:gs pos="77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$649.0k</a:t>
          </a:fld>
          <a:endParaRPr lang="en-US" sz="1800" b="1" i="0" u="none" strike="noStrike">
            <a:gradFill>
              <a:gsLst>
                <a:gs pos="0">
                  <a:schemeClr val="bg1"/>
                </a:gs>
                <a:gs pos="77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203200</xdr:colOff>
      <xdr:row>14</xdr:row>
      <xdr:rowOff>45154</xdr:rowOff>
    </xdr:from>
    <xdr:to>
      <xdr:col>1</xdr:col>
      <xdr:colOff>958850</xdr:colOff>
      <xdr:row>16</xdr:row>
      <xdr:rowOff>70554</xdr:rowOff>
    </xdr:to>
    <xdr:sp macro="" textlink="Pivots!J4">
      <xdr:nvSpPr>
        <xdr:cNvPr id="15" name="TextBox 14">
          <a:extLst>
            <a:ext uri="{FF2B5EF4-FFF2-40B4-BE49-F238E27FC236}">
              <a16:creationId xmlns:a16="http://schemas.microsoft.com/office/drawing/2014/main" id="{2839197C-7362-0D00-AECE-F975DD38C13D}"/>
            </a:ext>
          </a:extLst>
        </xdr:cNvPr>
        <xdr:cNvSpPr txBox="1"/>
      </xdr:nvSpPr>
      <xdr:spPr>
        <a:xfrm>
          <a:off x="203200" y="2623254"/>
          <a:ext cx="9906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23D30A4-DE8F-435B-9CF8-D94369C92302}" type="TxLink">
            <a:rPr lang="en-US" sz="1800" b="1" i="0" u="none" strike="noStrike">
              <a:gradFill>
                <a:gsLst>
                  <a:gs pos="0">
                    <a:schemeClr val="bg1"/>
                  </a:gs>
                  <a:gs pos="77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4.0</a:t>
          </a:fld>
          <a:endParaRPr lang="en-US" sz="1800" b="1" i="0" u="none" strike="noStrike">
            <a:gradFill>
              <a:gsLst>
                <a:gs pos="0">
                  <a:schemeClr val="bg1"/>
                </a:gs>
                <a:gs pos="77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203200</xdr:colOff>
      <xdr:row>17</xdr:row>
      <xdr:rowOff>88900</xdr:rowOff>
    </xdr:from>
    <xdr:to>
      <xdr:col>1</xdr:col>
      <xdr:colOff>958850</xdr:colOff>
      <xdr:row>19</xdr:row>
      <xdr:rowOff>114300</xdr:rowOff>
    </xdr:to>
    <xdr:sp macro="" textlink="Pivots!K4">
      <xdr:nvSpPr>
        <xdr:cNvPr id="16" name="TextBox 15">
          <a:extLst>
            <a:ext uri="{FF2B5EF4-FFF2-40B4-BE49-F238E27FC236}">
              <a16:creationId xmlns:a16="http://schemas.microsoft.com/office/drawing/2014/main" id="{77E17651-A91A-7F76-A5B0-05D405121387}"/>
            </a:ext>
          </a:extLst>
        </xdr:cNvPr>
        <xdr:cNvSpPr txBox="1"/>
      </xdr:nvSpPr>
      <xdr:spPr>
        <a:xfrm>
          <a:off x="203200" y="3219450"/>
          <a:ext cx="9906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DAE1383-6B59-495F-BD0C-2EFB656373A8}" type="TxLink">
            <a:rPr lang="en-US" sz="1800" b="1" i="0" u="none" strike="noStrike">
              <a:gradFill>
                <a:gsLst>
                  <a:gs pos="0">
                    <a:schemeClr val="bg1"/>
                  </a:gs>
                  <a:gs pos="77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2.3</a:t>
          </a:fld>
          <a:endParaRPr lang="en-US" sz="1800" b="1" i="0" u="none" strike="noStrike">
            <a:gradFill>
              <a:gsLst>
                <a:gs pos="0">
                  <a:schemeClr val="bg1"/>
                </a:gs>
                <a:gs pos="77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203200</xdr:colOff>
      <xdr:row>3</xdr:row>
      <xdr:rowOff>50800</xdr:rowOff>
    </xdr:from>
    <xdr:to>
      <xdr:col>1</xdr:col>
      <xdr:colOff>781050</xdr:colOff>
      <xdr:row>4</xdr:row>
      <xdr:rowOff>127000</xdr:rowOff>
    </xdr:to>
    <xdr:sp macro="" textlink="">
      <xdr:nvSpPr>
        <xdr:cNvPr id="17" name="TextBox 16">
          <a:extLst>
            <a:ext uri="{FF2B5EF4-FFF2-40B4-BE49-F238E27FC236}">
              <a16:creationId xmlns:a16="http://schemas.microsoft.com/office/drawing/2014/main" id="{33E23A25-FB22-A8AF-29C4-9D7EDB0B00D2}"/>
            </a:ext>
          </a:extLst>
        </xdr:cNvPr>
        <xdr:cNvSpPr txBox="1"/>
      </xdr:nvSpPr>
      <xdr:spPr>
        <a:xfrm>
          <a:off x="203200" y="603250"/>
          <a:ext cx="8128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🛒orders</a:t>
          </a:r>
        </a:p>
      </xdr:txBody>
    </xdr:sp>
    <xdr:clientData/>
  </xdr:twoCellAnchor>
  <xdr:twoCellAnchor>
    <xdr:from>
      <xdr:col>0</xdr:col>
      <xdr:colOff>203200</xdr:colOff>
      <xdr:row>6</xdr:row>
      <xdr:rowOff>94544</xdr:rowOff>
    </xdr:from>
    <xdr:to>
      <xdr:col>1</xdr:col>
      <xdr:colOff>781050</xdr:colOff>
      <xdr:row>7</xdr:row>
      <xdr:rowOff>170744</xdr:rowOff>
    </xdr:to>
    <xdr:sp macro="" textlink="">
      <xdr:nvSpPr>
        <xdr:cNvPr id="18" name="TextBox 17">
          <a:extLst>
            <a:ext uri="{FF2B5EF4-FFF2-40B4-BE49-F238E27FC236}">
              <a16:creationId xmlns:a16="http://schemas.microsoft.com/office/drawing/2014/main" id="{299781BA-077B-BAB9-7E75-8F822DBCDC9A}"/>
            </a:ext>
          </a:extLst>
        </xdr:cNvPr>
        <xdr:cNvSpPr txBox="1"/>
      </xdr:nvSpPr>
      <xdr:spPr>
        <a:xfrm>
          <a:off x="203200" y="1199444"/>
          <a:ext cx="8128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👕Qty</a:t>
          </a:r>
        </a:p>
      </xdr:txBody>
    </xdr:sp>
    <xdr:clientData/>
  </xdr:twoCellAnchor>
  <xdr:twoCellAnchor>
    <xdr:from>
      <xdr:col>0</xdr:col>
      <xdr:colOff>203200</xdr:colOff>
      <xdr:row>9</xdr:row>
      <xdr:rowOff>138288</xdr:rowOff>
    </xdr:from>
    <xdr:to>
      <xdr:col>1</xdr:col>
      <xdr:colOff>1242786</xdr:colOff>
      <xdr:row>11</xdr:row>
      <xdr:rowOff>36286</xdr:rowOff>
    </xdr:to>
    <xdr:sp macro="" textlink="">
      <xdr:nvSpPr>
        <xdr:cNvPr id="19" name="TextBox 18">
          <a:extLst>
            <a:ext uri="{FF2B5EF4-FFF2-40B4-BE49-F238E27FC236}">
              <a16:creationId xmlns:a16="http://schemas.microsoft.com/office/drawing/2014/main" id="{3F92F2B4-9C8B-5675-A0F8-8BFEF4FF6E16}"/>
            </a:ext>
          </a:extLst>
        </xdr:cNvPr>
        <xdr:cNvSpPr txBox="1"/>
      </xdr:nvSpPr>
      <xdr:spPr>
        <a:xfrm>
          <a:off x="203200" y="1771145"/>
          <a:ext cx="1275443" cy="260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💰Amount</a:t>
          </a:r>
        </a:p>
        <a:p>
          <a:endParaRPr lang="en-US" sz="1100">
            <a:solidFill>
              <a:schemeClr val="bg1"/>
            </a:solidFill>
          </a:endParaRPr>
        </a:p>
      </xdr:txBody>
    </xdr:sp>
    <xdr:clientData/>
  </xdr:twoCellAnchor>
  <xdr:twoCellAnchor>
    <xdr:from>
      <xdr:col>0</xdr:col>
      <xdr:colOff>203200</xdr:colOff>
      <xdr:row>12</xdr:row>
      <xdr:rowOff>182032</xdr:rowOff>
    </xdr:from>
    <xdr:to>
      <xdr:col>1</xdr:col>
      <xdr:colOff>996950</xdr:colOff>
      <xdr:row>14</xdr:row>
      <xdr:rowOff>74082</xdr:rowOff>
    </xdr:to>
    <xdr:sp macro="" textlink="">
      <xdr:nvSpPr>
        <xdr:cNvPr id="20" name="TextBox 19">
          <a:extLst>
            <a:ext uri="{FF2B5EF4-FFF2-40B4-BE49-F238E27FC236}">
              <a16:creationId xmlns:a16="http://schemas.microsoft.com/office/drawing/2014/main" id="{B3F7A29D-99CD-7104-46FA-F95F10908314}"/>
            </a:ext>
          </a:extLst>
        </xdr:cNvPr>
        <xdr:cNvSpPr txBox="1"/>
      </xdr:nvSpPr>
      <xdr:spPr>
        <a:xfrm>
          <a:off x="203200" y="2391832"/>
          <a:ext cx="10287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⭐Avg. Rating</a:t>
          </a:r>
        </a:p>
      </xdr:txBody>
    </xdr:sp>
    <xdr:clientData/>
  </xdr:twoCellAnchor>
  <xdr:twoCellAnchor>
    <xdr:from>
      <xdr:col>0</xdr:col>
      <xdr:colOff>203200</xdr:colOff>
      <xdr:row>16</xdr:row>
      <xdr:rowOff>41626</xdr:rowOff>
    </xdr:from>
    <xdr:to>
      <xdr:col>1</xdr:col>
      <xdr:colOff>1244600</xdr:colOff>
      <xdr:row>17</xdr:row>
      <xdr:rowOff>117826</xdr:rowOff>
    </xdr:to>
    <xdr:sp macro="" textlink="">
      <xdr:nvSpPr>
        <xdr:cNvPr id="21" name="TextBox 20">
          <a:extLst>
            <a:ext uri="{FF2B5EF4-FFF2-40B4-BE49-F238E27FC236}">
              <a16:creationId xmlns:a16="http://schemas.microsoft.com/office/drawing/2014/main" id="{09303749-2C1D-10C1-8AF2-A18F2C69DD4E}"/>
            </a:ext>
          </a:extLst>
        </xdr:cNvPr>
        <xdr:cNvSpPr txBox="1"/>
      </xdr:nvSpPr>
      <xdr:spPr>
        <a:xfrm>
          <a:off x="203200" y="2988026"/>
          <a:ext cx="12763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🗓️Days to Deliver</a:t>
          </a:r>
        </a:p>
      </xdr:txBody>
    </xdr:sp>
    <xdr:clientData/>
  </xdr:twoCellAnchor>
  <xdr:twoCellAnchor>
    <xdr:from>
      <xdr:col>3</xdr:col>
      <xdr:colOff>133350</xdr:colOff>
      <xdr:row>0</xdr:row>
      <xdr:rowOff>101600</xdr:rowOff>
    </xdr:from>
    <xdr:to>
      <xdr:col>10</xdr:col>
      <xdr:colOff>254000</xdr:colOff>
      <xdr:row>15</xdr:row>
      <xdr:rowOff>0</xdr:rowOff>
    </xdr:to>
    <xdr:graphicFrame macro="">
      <xdr:nvGraphicFramePr>
        <xdr:cNvPr id="6" name="Chart 5">
          <a:extLst>
            <a:ext uri="{FF2B5EF4-FFF2-40B4-BE49-F238E27FC236}">
              <a16:creationId xmlns:a16="http://schemas.microsoft.com/office/drawing/2014/main" id="{D4F2388D-1230-41B2-B631-3E465FE7E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489856</xdr:colOff>
      <xdr:row>0</xdr:row>
      <xdr:rowOff>99785</xdr:rowOff>
    </xdr:from>
    <xdr:to>
      <xdr:col>17</xdr:col>
      <xdr:colOff>362857</xdr:colOff>
      <xdr:row>15</xdr:row>
      <xdr:rowOff>63499</xdr:rowOff>
    </xdr:to>
    <xdr:sp macro="" textlink="">
      <xdr:nvSpPr>
        <xdr:cNvPr id="28" name="Rectangle 27">
          <a:extLst>
            <a:ext uri="{FF2B5EF4-FFF2-40B4-BE49-F238E27FC236}">
              <a16:creationId xmlns:a16="http://schemas.microsoft.com/office/drawing/2014/main" id="{DD631483-D177-EA2E-E4FB-7E395D72C354}"/>
            </a:ext>
          </a:extLst>
        </xdr:cNvPr>
        <xdr:cNvSpPr/>
      </xdr:nvSpPr>
      <xdr:spPr>
        <a:xfrm>
          <a:off x="6395356" y="99785"/>
          <a:ext cx="4127501" cy="2685143"/>
        </a:xfrm>
        <a:prstGeom prst="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b="1"/>
            <a:t>How</a:t>
          </a:r>
          <a:r>
            <a:rPr lang="en-US" sz="1400" b="1" baseline="0"/>
            <a:t> they like to buy?</a:t>
          </a:r>
          <a:endParaRPr lang="en-US" sz="1400" b="1"/>
        </a:p>
      </xdr:txBody>
    </xdr:sp>
    <xdr:clientData/>
  </xdr:twoCellAnchor>
  <mc:AlternateContent xmlns:mc="http://schemas.openxmlformats.org/markup-compatibility/2006">
    <mc:Choice xmlns:a14="http://schemas.microsoft.com/office/drawing/2010/main" Requires="a14">
      <xdr:twoCellAnchor editAs="oneCell">
        <xdr:from>
          <xdr:col>11</xdr:col>
          <xdr:colOff>46264</xdr:colOff>
          <xdr:row>2</xdr:row>
          <xdr:rowOff>169059</xdr:rowOff>
        </xdr:from>
        <xdr:to>
          <xdr:col>17</xdr:col>
          <xdr:colOff>192150</xdr:colOff>
          <xdr:row>13</xdr:row>
          <xdr:rowOff>128648</xdr:rowOff>
        </xdr:to>
        <xdr:pic>
          <xdr:nvPicPr>
            <xdr:cNvPr id="27" name="Picture 26">
              <a:extLst>
                <a:ext uri="{FF2B5EF4-FFF2-40B4-BE49-F238E27FC236}">
                  <a16:creationId xmlns:a16="http://schemas.microsoft.com/office/drawing/2014/main" id="{D078DD88-FA25-499F-2622-C65F8CD0A97A}"/>
                </a:ext>
              </a:extLst>
            </xdr:cNvPr>
            <xdr:cNvPicPr>
              <a:picLocks noChangeAspect="1" noChangeArrowheads="1"/>
              <a:extLst>
                <a:ext uri="{84589F7E-364E-4C9E-8A38-B11213B215E9}">
                  <a14:cameraTool cellRange="Sheet2!$AP$5:$AT$10" spid="_x0000_s1142"/>
                </a:ext>
              </a:extLst>
            </xdr:cNvPicPr>
          </xdr:nvPicPr>
          <xdr:blipFill>
            <a:blip xmlns:r="http://schemas.openxmlformats.org/officeDocument/2006/relationships" r:embed="rId2"/>
            <a:srcRect/>
            <a:stretch>
              <a:fillRect/>
            </a:stretch>
          </xdr:blipFill>
          <xdr:spPr bwMode="auto">
            <a:xfrm>
              <a:off x="6569446" y="538514"/>
              <a:ext cx="3817340" cy="1991589"/>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18</xdr:col>
      <xdr:colOff>18143</xdr:colOff>
      <xdr:row>0</xdr:row>
      <xdr:rowOff>136071</xdr:rowOff>
    </xdr:from>
    <xdr:to>
      <xdr:col>24</xdr:col>
      <xdr:colOff>362857</xdr:colOff>
      <xdr:row>15</xdr:row>
      <xdr:rowOff>108857</xdr:rowOff>
    </xdr:to>
    <xdr:graphicFrame macro="">
      <xdr:nvGraphicFramePr>
        <xdr:cNvPr id="31" name="Chart 30">
          <a:extLst>
            <a:ext uri="{FF2B5EF4-FFF2-40B4-BE49-F238E27FC236}">
              <a16:creationId xmlns:a16="http://schemas.microsoft.com/office/drawing/2014/main" id="{8787D415-01D6-49BB-813A-C45732FB7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136071</xdr:colOff>
      <xdr:row>16</xdr:row>
      <xdr:rowOff>76201</xdr:rowOff>
    </xdr:from>
    <xdr:to>
      <xdr:col>10</xdr:col>
      <xdr:colOff>241300</xdr:colOff>
      <xdr:row>42</xdr:row>
      <xdr:rowOff>31750</xdr:rowOff>
    </xdr:to>
    <xdr:graphicFrame macro="">
      <xdr:nvGraphicFramePr>
        <xdr:cNvPr id="32" name="Chart 31">
          <a:extLst>
            <a:ext uri="{FF2B5EF4-FFF2-40B4-BE49-F238E27FC236}">
              <a16:creationId xmlns:a16="http://schemas.microsoft.com/office/drawing/2014/main" id="{F518B8FA-7C3E-40FD-B9E5-D99E39FCD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38100</xdr:colOff>
      <xdr:row>31</xdr:row>
      <xdr:rowOff>114300</xdr:rowOff>
    </xdr:from>
    <xdr:to>
      <xdr:col>8</xdr:col>
      <xdr:colOff>222250</xdr:colOff>
      <xdr:row>40</xdr:row>
      <xdr:rowOff>57150</xdr:rowOff>
    </xdr:to>
    <xdr:graphicFrame macro="">
      <xdr:nvGraphicFramePr>
        <xdr:cNvPr id="33" name="Chart 32">
          <a:extLst>
            <a:ext uri="{FF2B5EF4-FFF2-40B4-BE49-F238E27FC236}">
              <a16:creationId xmlns:a16="http://schemas.microsoft.com/office/drawing/2014/main" id="{73A19B62-0C5F-4F5D-BEB7-36979CB88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374650</xdr:colOff>
      <xdr:row>16</xdr:row>
      <xdr:rowOff>93435</xdr:rowOff>
    </xdr:from>
    <xdr:to>
      <xdr:col>17</xdr:col>
      <xdr:colOff>381000</xdr:colOff>
      <xdr:row>42</xdr:row>
      <xdr:rowOff>31750</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CA9AFEFD-6A81-41C5-929B-4A39763469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286500" y="3039835"/>
              <a:ext cx="4273550" cy="472621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82549</xdr:colOff>
      <xdr:row>20</xdr:row>
      <xdr:rowOff>139700</xdr:rowOff>
    </xdr:from>
    <xdr:to>
      <xdr:col>17</xdr:col>
      <xdr:colOff>209550</xdr:colOff>
      <xdr:row>30</xdr:row>
      <xdr:rowOff>158750</xdr:rowOff>
    </xdr:to>
    <mc:AlternateContent xmlns:mc="http://schemas.openxmlformats.org/markup-compatibility/2006">
      <mc:Choice xmlns:cx4="http://schemas.microsoft.com/office/drawing/2016/5/10/chartex" Requires="cx4">
        <xdr:graphicFrame macro="">
          <xdr:nvGraphicFramePr>
            <xdr:cNvPr id="35" name="Chart 34">
              <a:extLst>
                <a:ext uri="{FF2B5EF4-FFF2-40B4-BE49-F238E27FC236}">
                  <a16:creationId xmlns:a16="http://schemas.microsoft.com/office/drawing/2014/main" id="{085BDE59-D17B-47C9-BE0F-48544309A8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042399" y="3822700"/>
              <a:ext cx="1346201" cy="18605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508000</xdr:colOff>
      <xdr:row>16</xdr:row>
      <xdr:rowOff>113553</xdr:rowOff>
    </xdr:from>
    <xdr:to>
      <xdr:col>24</xdr:col>
      <xdr:colOff>366059</xdr:colOff>
      <xdr:row>28</xdr:row>
      <xdr:rowOff>186763</xdr:rowOff>
    </xdr:to>
    <xdr:graphicFrame macro="">
      <xdr:nvGraphicFramePr>
        <xdr:cNvPr id="7" name="Chart 6">
          <a:extLst>
            <a:ext uri="{FF2B5EF4-FFF2-40B4-BE49-F238E27FC236}">
              <a16:creationId xmlns:a16="http://schemas.microsoft.com/office/drawing/2014/main" id="{08F20EF5-74DB-40C8-9450-4E780EBC0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518720</xdr:colOff>
      <xdr:row>29</xdr:row>
      <xdr:rowOff>127000</xdr:rowOff>
    </xdr:from>
    <xdr:to>
      <xdr:col>24</xdr:col>
      <xdr:colOff>364435</xdr:colOff>
      <xdr:row>42</xdr:row>
      <xdr:rowOff>38653</xdr:rowOff>
    </xdr:to>
    <xdr:graphicFrame macro="">
      <xdr:nvGraphicFramePr>
        <xdr:cNvPr id="8" name="Chart 7">
          <a:extLst>
            <a:ext uri="{FF2B5EF4-FFF2-40B4-BE49-F238E27FC236}">
              <a16:creationId xmlns:a16="http://schemas.microsoft.com/office/drawing/2014/main" id="{B45A4BC6-914C-4A3A-A8C6-7BFCBF894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104588</xdr:colOff>
      <xdr:row>20</xdr:row>
      <xdr:rowOff>59764</xdr:rowOff>
    </xdr:from>
    <xdr:to>
      <xdr:col>1</xdr:col>
      <xdr:colOff>1329765</xdr:colOff>
      <xdr:row>28</xdr:row>
      <xdr:rowOff>171823</xdr:rowOff>
    </xdr:to>
    <mc:AlternateContent xmlns:mc="http://schemas.openxmlformats.org/markup-compatibility/2006" xmlns:a14="http://schemas.microsoft.com/office/drawing/2010/main">
      <mc:Choice Requires="a14">
        <xdr:graphicFrame macro="">
          <xdr:nvGraphicFramePr>
            <xdr:cNvPr id="9" name="Gender Value">
              <a:extLst>
                <a:ext uri="{FF2B5EF4-FFF2-40B4-BE49-F238E27FC236}">
                  <a16:creationId xmlns:a16="http://schemas.microsoft.com/office/drawing/2014/main" id="{7C728854-36FE-4606-87C3-0F863349A6A2}"/>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04588" y="3754309"/>
              <a:ext cx="1456086" cy="15898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96793</xdr:colOff>
      <xdr:row>29</xdr:row>
      <xdr:rowOff>112710</xdr:rowOff>
    </xdr:from>
    <xdr:to>
      <xdr:col>1</xdr:col>
      <xdr:colOff>1329765</xdr:colOff>
      <xdr:row>39</xdr:row>
      <xdr:rowOff>97117</xdr:rowOff>
    </xdr:to>
    <mc:AlternateContent xmlns:mc="http://schemas.openxmlformats.org/markup-compatibility/2006" xmlns:a14="http://schemas.microsoft.com/office/drawing/2010/main">
      <mc:Choice Requires="a14">
        <xdr:graphicFrame macro="">
          <xdr:nvGraphicFramePr>
            <xdr:cNvPr id="11" name="Order Mode">
              <a:extLst>
                <a:ext uri="{FF2B5EF4-FFF2-40B4-BE49-F238E27FC236}">
                  <a16:creationId xmlns:a16="http://schemas.microsoft.com/office/drawing/2014/main" id="{CF772DCB-D851-4A37-B76B-40CF17D54A4B}"/>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96793" y="5469801"/>
              <a:ext cx="1463881" cy="1831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27215</xdr:colOff>
      <xdr:row>0</xdr:row>
      <xdr:rowOff>1</xdr:rowOff>
    </xdr:from>
    <xdr:to>
      <xdr:col>2</xdr:col>
      <xdr:colOff>226786</xdr:colOff>
      <xdr:row>3</xdr:row>
      <xdr:rowOff>117929</xdr:rowOff>
    </xdr:to>
    <xdr:sp macro="" textlink="">
      <xdr:nvSpPr>
        <xdr:cNvPr id="12" name="TextBox 11">
          <a:extLst>
            <a:ext uri="{FF2B5EF4-FFF2-40B4-BE49-F238E27FC236}">
              <a16:creationId xmlns:a16="http://schemas.microsoft.com/office/drawing/2014/main" id="{C073A88E-BCF6-6218-3227-094D656BEB29}"/>
            </a:ext>
          </a:extLst>
        </xdr:cNvPr>
        <xdr:cNvSpPr txBox="1"/>
      </xdr:nvSpPr>
      <xdr:spPr>
        <a:xfrm>
          <a:off x="27215" y="1"/>
          <a:ext cx="1986642" cy="662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n>
                <a:solidFill>
                  <a:srgbClr val="8494FF"/>
                </a:solidFill>
              </a:ln>
              <a:solidFill>
                <a:srgbClr val="6367FF"/>
              </a:solidFill>
            </a:rPr>
            <a:t>Ecommerce</a:t>
          </a:r>
          <a:r>
            <a:rPr lang="en-US" sz="1600" b="1" baseline="0">
              <a:ln>
                <a:solidFill>
                  <a:srgbClr val="8494FF"/>
                </a:solidFill>
              </a:ln>
              <a:solidFill>
                <a:srgbClr val="6367FF"/>
              </a:solidFill>
            </a:rPr>
            <a:t> Sales Dashboard</a:t>
          </a:r>
          <a:endParaRPr lang="en-US" sz="1600" b="1">
            <a:ln>
              <a:solidFill>
                <a:srgbClr val="8494FF"/>
              </a:solidFill>
            </a:ln>
            <a:solidFill>
              <a:srgbClr val="6367FF"/>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orab Hossen" refreshedDate="46096.804451620374" createdVersion="8" refreshedVersion="8" minRefreshableVersion="3" recordCount="2400" xr:uid="{18CFE41E-EC66-4E5D-B7EE-FAF1AA1DF250}">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Months (Order Date)"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2538032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x v="0"/>
    <x v="0"/>
    <x v="0"/>
    <x v="0"/>
    <x v="0"/>
    <x v="0"/>
    <x v="0"/>
    <x v="0"/>
  </r>
  <r>
    <s v="TX500002"/>
    <x v="1"/>
    <x v="1"/>
    <n v="30.6"/>
    <n v="61.2"/>
    <x v="0"/>
    <d v="2025-01-03T00:00:00"/>
    <x v="1"/>
    <x v="0"/>
    <x v="0"/>
    <x v="0"/>
    <x v="1"/>
    <x v="1"/>
    <x v="0"/>
    <x v="1"/>
  </r>
  <r>
    <s v="TX500003"/>
    <x v="2"/>
    <x v="2"/>
    <n v="109.4"/>
    <n v="328.20000000000005"/>
    <x v="0"/>
    <d v="2025-01-04T00:00:00"/>
    <x v="2"/>
    <x v="0"/>
    <x v="1"/>
    <x v="0"/>
    <x v="2"/>
    <x v="2"/>
    <x v="0"/>
    <x v="2"/>
  </r>
  <r>
    <s v="TX500004"/>
    <x v="3"/>
    <x v="3"/>
    <n v="37.700000000000003"/>
    <n v="263.90000000000003"/>
    <x v="0"/>
    <d v="2025-01-02T00:00:00"/>
    <x v="2"/>
    <x v="0"/>
    <x v="0"/>
    <x v="0"/>
    <x v="2"/>
    <x v="3"/>
    <x v="0"/>
    <x v="2"/>
  </r>
  <r>
    <s v="TX500005"/>
    <x v="4"/>
    <x v="2"/>
    <n v="56.7"/>
    <n v="170.10000000000002"/>
    <x v="0"/>
    <d v="2025-01-04T00:00:00"/>
    <x v="2"/>
    <x v="0"/>
    <x v="2"/>
    <x v="0"/>
    <x v="3"/>
    <x v="2"/>
    <x v="0"/>
    <x v="2"/>
  </r>
  <r>
    <s v="TX500006"/>
    <x v="1"/>
    <x v="4"/>
    <n v="83.5"/>
    <n v="1002"/>
    <x v="0"/>
    <d v="2025-01-04T00:00:00"/>
    <x v="1"/>
    <x v="1"/>
    <x v="0"/>
    <x v="0"/>
    <x v="3"/>
    <x v="2"/>
    <x v="0"/>
    <x v="1"/>
  </r>
  <r>
    <s v="TX500007"/>
    <x v="5"/>
    <x v="0"/>
    <n v="55.3"/>
    <n v="55.3"/>
    <x v="0"/>
    <d v="2025-01-02T00:00:00"/>
    <x v="2"/>
    <x v="0"/>
    <x v="0"/>
    <x v="0"/>
    <x v="3"/>
    <x v="3"/>
    <x v="0"/>
    <x v="2"/>
  </r>
  <r>
    <s v="TX500008"/>
    <x v="6"/>
    <x v="1"/>
    <n v="40.299999999999997"/>
    <n v="80.599999999999994"/>
    <x v="0"/>
    <d v="2025-01-02T00:00:00"/>
    <x v="1"/>
    <x v="2"/>
    <x v="2"/>
    <x v="0"/>
    <x v="3"/>
    <x v="3"/>
    <x v="0"/>
    <x v="1"/>
  </r>
  <r>
    <s v="TX500009"/>
    <x v="7"/>
    <x v="5"/>
    <n v="35.700000000000003"/>
    <n v="392.70000000000005"/>
    <x v="0"/>
    <d v="2025-01-02T00:00:00"/>
    <x v="2"/>
    <x v="0"/>
    <x v="0"/>
    <x v="0"/>
    <x v="3"/>
    <x v="3"/>
    <x v="0"/>
    <x v="2"/>
  </r>
  <r>
    <s v="TX500010"/>
    <x v="8"/>
    <x v="3"/>
    <n v="22.4"/>
    <n v="156.79999999999998"/>
    <x v="0"/>
    <d v="2025-01-04T00:00:00"/>
    <x v="1"/>
    <x v="0"/>
    <x v="1"/>
    <x v="0"/>
    <x v="3"/>
    <x v="2"/>
    <x v="0"/>
    <x v="1"/>
  </r>
  <r>
    <s v="TX500011"/>
    <x v="9"/>
    <x v="1"/>
    <n v="54.4"/>
    <n v="108.8"/>
    <x v="0"/>
    <d v="2025-01-07T00:00:00"/>
    <x v="2"/>
    <x v="0"/>
    <x v="0"/>
    <x v="0"/>
    <x v="3"/>
    <x v="4"/>
    <x v="0"/>
    <x v="2"/>
  </r>
  <r>
    <s v="TX500012"/>
    <x v="9"/>
    <x v="1"/>
    <n v="49"/>
    <n v="98"/>
    <x v="0"/>
    <d v="2025-01-03T00:00:00"/>
    <x v="2"/>
    <x v="2"/>
    <x v="1"/>
    <x v="0"/>
    <x v="3"/>
    <x v="1"/>
    <x v="0"/>
    <x v="2"/>
  </r>
  <r>
    <s v="TX500013"/>
    <x v="5"/>
    <x v="3"/>
    <n v="118.6"/>
    <n v="830.19999999999993"/>
    <x v="0"/>
    <d v="2025-01-05T00:00:00"/>
    <x v="2"/>
    <x v="1"/>
    <x v="0"/>
    <x v="0"/>
    <x v="4"/>
    <x v="5"/>
    <x v="0"/>
    <x v="2"/>
  </r>
  <r>
    <s v="TX500014"/>
    <x v="6"/>
    <x v="6"/>
    <n v="88.4"/>
    <n v="2386.8000000000002"/>
    <x v="0"/>
    <d v="2025-01-08T00:00:00"/>
    <x v="1"/>
    <x v="3"/>
    <x v="0"/>
    <x v="0"/>
    <x v="5"/>
    <x v="6"/>
    <x v="0"/>
    <x v="1"/>
  </r>
  <r>
    <s v="TX500015"/>
    <x v="10"/>
    <x v="0"/>
    <n v="66.7"/>
    <n v="66.7"/>
    <x v="0"/>
    <d v="2025-01-04T00:00:00"/>
    <x v="1"/>
    <x v="0"/>
    <x v="0"/>
    <x v="0"/>
    <x v="6"/>
    <x v="2"/>
    <x v="0"/>
    <x v="1"/>
  </r>
  <r>
    <s v="TX500016"/>
    <x v="9"/>
    <x v="7"/>
    <n v="30.9"/>
    <n v="309"/>
    <x v="0"/>
    <d v="2025-01-02T00:00:00"/>
    <x v="1"/>
    <x v="1"/>
    <x v="2"/>
    <x v="0"/>
    <x v="6"/>
    <x v="3"/>
    <x v="0"/>
    <x v="1"/>
  </r>
  <r>
    <s v="TX500017"/>
    <x v="4"/>
    <x v="2"/>
    <n v="31.1"/>
    <n v="93.300000000000011"/>
    <x v="0"/>
    <d v="2025-01-02T00:00:00"/>
    <x v="2"/>
    <x v="0"/>
    <x v="1"/>
    <x v="0"/>
    <x v="6"/>
    <x v="3"/>
    <x v="0"/>
    <x v="2"/>
  </r>
  <r>
    <s v="TX500018"/>
    <x v="7"/>
    <x v="2"/>
    <n v="36.6"/>
    <n v="109.80000000000001"/>
    <x v="0"/>
    <d v="2025-01-04T00:00:00"/>
    <x v="2"/>
    <x v="0"/>
    <x v="0"/>
    <x v="0"/>
    <x v="7"/>
    <x v="2"/>
    <x v="0"/>
    <x v="2"/>
  </r>
  <r>
    <s v="TX500019"/>
    <x v="6"/>
    <x v="8"/>
    <n v="51.1"/>
    <n v="408.8"/>
    <x v="0"/>
    <d v="2025-01-04T00:00:00"/>
    <x v="2"/>
    <x v="2"/>
    <x v="3"/>
    <x v="0"/>
    <x v="7"/>
    <x v="2"/>
    <x v="0"/>
    <x v="2"/>
  </r>
  <r>
    <s v="TX500020"/>
    <x v="9"/>
    <x v="0"/>
    <n v="25.2"/>
    <n v="25.2"/>
    <x v="0"/>
    <d v="2025-01-02T00:00:00"/>
    <x v="2"/>
    <x v="1"/>
    <x v="2"/>
    <x v="0"/>
    <x v="8"/>
    <x v="3"/>
    <x v="0"/>
    <x v="2"/>
  </r>
  <r>
    <s v="TX500021"/>
    <x v="9"/>
    <x v="9"/>
    <n v="43.8"/>
    <n v="219"/>
    <x v="0"/>
    <d v="2025-01-04T00:00:00"/>
    <x v="2"/>
    <x v="2"/>
    <x v="0"/>
    <x v="0"/>
    <x v="8"/>
    <x v="2"/>
    <x v="0"/>
    <x v="2"/>
  </r>
  <r>
    <s v="TX500022"/>
    <x v="8"/>
    <x v="4"/>
    <n v="46.7"/>
    <n v="560.40000000000009"/>
    <x v="0"/>
    <d v="2025-01-02T00:00:00"/>
    <x v="2"/>
    <x v="1"/>
    <x v="1"/>
    <x v="0"/>
    <x v="8"/>
    <x v="3"/>
    <x v="0"/>
    <x v="2"/>
  </r>
  <r>
    <s v="TX500023"/>
    <x v="3"/>
    <x v="10"/>
    <n v="79.900000000000006"/>
    <n v="1518.1000000000001"/>
    <x v="0"/>
    <d v="2025-01-02T00:00:00"/>
    <x v="1"/>
    <x v="0"/>
    <x v="2"/>
    <x v="0"/>
    <x v="8"/>
    <x v="3"/>
    <x v="0"/>
    <x v="1"/>
  </r>
  <r>
    <s v="TX500024"/>
    <x v="11"/>
    <x v="8"/>
    <n v="26.4"/>
    <n v="211.2"/>
    <x v="0"/>
    <d v="2025-01-02T00:00:00"/>
    <x v="2"/>
    <x v="3"/>
    <x v="0"/>
    <x v="0"/>
    <x v="8"/>
    <x v="3"/>
    <x v="0"/>
    <x v="2"/>
  </r>
  <r>
    <s v="TX500025"/>
    <x v="12"/>
    <x v="8"/>
    <n v="88.8"/>
    <n v="710.4"/>
    <x v="0"/>
    <d v="2025-01-02T00:00:00"/>
    <x v="2"/>
    <x v="4"/>
    <x v="0"/>
    <x v="0"/>
    <x v="8"/>
    <x v="3"/>
    <x v="0"/>
    <x v="2"/>
  </r>
  <r>
    <s v="TX500026"/>
    <x v="0"/>
    <x v="7"/>
    <n v="17.5"/>
    <n v="175"/>
    <x v="0"/>
    <d v="2025-01-02T00:00:00"/>
    <x v="2"/>
    <x v="2"/>
    <x v="0"/>
    <x v="0"/>
    <x v="9"/>
    <x v="3"/>
    <x v="0"/>
    <x v="2"/>
  </r>
  <r>
    <s v="TX500027"/>
    <x v="1"/>
    <x v="11"/>
    <n v="38.700000000000003"/>
    <n v="348.3"/>
    <x v="0"/>
    <d v="2025-01-04T00:00:00"/>
    <x v="1"/>
    <x v="1"/>
    <x v="0"/>
    <x v="0"/>
    <x v="10"/>
    <x v="2"/>
    <x v="0"/>
    <x v="1"/>
  </r>
  <r>
    <s v="TX500028"/>
    <x v="13"/>
    <x v="12"/>
    <n v="57.2"/>
    <n v="228.8"/>
    <x v="0"/>
    <d v="2025-01-03T00:00:00"/>
    <x v="0"/>
    <x v="1"/>
    <x v="2"/>
    <x v="0"/>
    <x v="11"/>
    <x v="1"/>
    <x v="0"/>
    <x v="0"/>
  </r>
  <r>
    <s v="TX500029"/>
    <x v="6"/>
    <x v="9"/>
    <n v="50.9"/>
    <n v="254.5"/>
    <x v="0"/>
    <d v="2025-01-07T00:00:00"/>
    <x v="0"/>
    <x v="1"/>
    <x v="2"/>
    <x v="0"/>
    <x v="12"/>
    <x v="4"/>
    <x v="0"/>
    <x v="0"/>
  </r>
  <r>
    <s v="TX500030"/>
    <x v="14"/>
    <x v="3"/>
    <n v="41"/>
    <n v="287"/>
    <x v="0"/>
    <d v="2025-01-05T00:00:00"/>
    <x v="2"/>
    <x v="1"/>
    <x v="0"/>
    <x v="0"/>
    <x v="13"/>
    <x v="5"/>
    <x v="0"/>
    <x v="2"/>
  </r>
  <r>
    <s v="TX500031"/>
    <x v="8"/>
    <x v="3"/>
    <n v="19.100000000000001"/>
    <n v="133.70000000000002"/>
    <x v="0"/>
    <d v="2025-01-05T00:00:00"/>
    <x v="1"/>
    <x v="0"/>
    <x v="2"/>
    <x v="0"/>
    <x v="14"/>
    <x v="5"/>
    <x v="0"/>
    <x v="1"/>
  </r>
  <r>
    <s v="TX500032"/>
    <x v="2"/>
    <x v="9"/>
    <n v="166.1"/>
    <n v="830.5"/>
    <x v="0"/>
    <d v="2025-01-04T00:00:00"/>
    <x v="1"/>
    <x v="0"/>
    <x v="0"/>
    <x v="0"/>
    <x v="15"/>
    <x v="2"/>
    <x v="0"/>
    <x v="1"/>
  </r>
  <r>
    <s v="TX500033"/>
    <x v="4"/>
    <x v="2"/>
    <n v="29.9"/>
    <n v="89.699999999999989"/>
    <x v="0"/>
    <d v="2025-01-02T00:00:00"/>
    <x v="1"/>
    <x v="3"/>
    <x v="0"/>
    <x v="0"/>
    <x v="3"/>
    <x v="3"/>
    <x v="0"/>
    <x v="1"/>
  </r>
  <r>
    <s v="TX500034"/>
    <x v="10"/>
    <x v="13"/>
    <n v="21.7"/>
    <n v="130.19999999999999"/>
    <x v="0"/>
    <d v="2025-01-03T00:00:00"/>
    <x v="3"/>
    <x v="2"/>
    <x v="2"/>
    <x v="0"/>
    <x v="3"/>
    <x v="1"/>
    <x v="0"/>
    <x v="3"/>
  </r>
  <r>
    <s v="TX500035"/>
    <x v="11"/>
    <x v="1"/>
    <n v="32"/>
    <n v="64"/>
    <x v="0"/>
    <d v="2025-01-04T00:00:00"/>
    <x v="1"/>
    <x v="0"/>
    <x v="2"/>
    <x v="0"/>
    <x v="3"/>
    <x v="2"/>
    <x v="0"/>
    <x v="1"/>
  </r>
  <r>
    <s v="TX500036"/>
    <x v="8"/>
    <x v="1"/>
    <n v="15.8"/>
    <n v="31.6"/>
    <x v="0"/>
    <d v="2025-01-02T00:00:00"/>
    <x v="1"/>
    <x v="4"/>
    <x v="2"/>
    <x v="0"/>
    <x v="3"/>
    <x v="3"/>
    <x v="0"/>
    <x v="1"/>
  </r>
  <r>
    <s v="TX500037"/>
    <x v="2"/>
    <x v="14"/>
    <n v="203.1"/>
    <n v="3452.7"/>
    <x v="0"/>
    <d v="2025-01-05T00:00:00"/>
    <x v="1"/>
    <x v="3"/>
    <x v="1"/>
    <x v="0"/>
    <x v="3"/>
    <x v="5"/>
    <x v="0"/>
    <x v="1"/>
  </r>
  <r>
    <s v="TX500038"/>
    <x v="7"/>
    <x v="15"/>
    <n v="39"/>
    <n v="507"/>
    <x v="0"/>
    <d v="2025-01-07T00:00:00"/>
    <x v="1"/>
    <x v="0"/>
    <x v="2"/>
    <x v="0"/>
    <x v="3"/>
    <x v="4"/>
    <x v="0"/>
    <x v="1"/>
  </r>
  <r>
    <s v="TX500039"/>
    <x v="10"/>
    <x v="0"/>
    <n v="26.5"/>
    <n v="26.5"/>
    <x v="1"/>
    <d v="2025-01-03T00:00:00"/>
    <x v="1"/>
    <x v="2"/>
    <x v="0"/>
    <x v="0"/>
    <x v="3"/>
    <x v="3"/>
    <x v="0"/>
    <x v="1"/>
  </r>
  <r>
    <s v="TX500040"/>
    <x v="5"/>
    <x v="0"/>
    <n v="43.1"/>
    <n v="43.1"/>
    <x v="1"/>
    <d v="2025-01-03T00:00:00"/>
    <x v="2"/>
    <x v="2"/>
    <x v="1"/>
    <x v="0"/>
    <x v="3"/>
    <x v="3"/>
    <x v="0"/>
    <x v="2"/>
  </r>
  <r>
    <s v="TX500041"/>
    <x v="1"/>
    <x v="2"/>
    <n v="139"/>
    <n v="417"/>
    <x v="1"/>
    <d v="2025-01-03T00:00:00"/>
    <x v="2"/>
    <x v="4"/>
    <x v="2"/>
    <x v="0"/>
    <x v="3"/>
    <x v="3"/>
    <x v="0"/>
    <x v="2"/>
  </r>
  <r>
    <s v="TX500042"/>
    <x v="12"/>
    <x v="0"/>
    <n v="80.7"/>
    <n v="80.7"/>
    <x v="1"/>
    <d v="2025-01-03T00:00:00"/>
    <x v="1"/>
    <x v="0"/>
    <x v="2"/>
    <x v="0"/>
    <x v="16"/>
    <x v="3"/>
    <x v="0"/>
    <x v="1"/>
  </r>
  <r>
    <s v="TX500043"/>
    <x v="4"/>
    <x v="1"/>
    <n v="54.5"/>
    <n v="109"/>
    <x v="1"/>
    <d v="2025-01-04T00:00:00"/>
    <x v="1"/>
    <x v="1"/>
    <x v="1"/>
    <x v="0"/>
    <x v="6"/>
    <x v="1"/>
    <x v="0"/>
    <x v="1"/>
  </r>
  <r>
    <s v="TX500044"/>
    <x v="6"/>
    <x v="2"/>
    <n v="68.599999999999994"/>
    <n v="205.79999999999998"/>
    <x v="1"/>
    <d v="2025-01-02T00:00:00"/>
    <x v="2"/>
    <x v="0"/>
    <x v="1"/>
    <x v="0"/>
    <x v="8"/>
    <x v="7"/>
    <x v="0"/>
    <x v="2"/>
  </r>
  <r>
    <s v="TX500045"/>
    <x v="2"/>
    <x v="12"/>
    <n v="135.9"/>
    <n v="543.6"/>
    <x v="1"/>
    <d v="2025-01-03T00:00:00"/>
    <x v="2"/>
    <x v="2"/>
    <x v="2"/>
    <x v="0"/>
    <x v="8"/>
    <x v="3"/>
    <x v="0"/>
    <x v="2"/>
  </r>
  <r>
    <s v="TX500046"/>
    <x v="2"/>
    <x v="12"/>
    <n v="70.900000000000006"/>
    <n v="283.60000000000002"/>
    <x v="1"/>
    <d v="2025-01-03T00:00:00"/>
    <x v="2"/>
    <x v="0"/>
    <x v="0"/>
    <x v="0"/>
    <x v="17"/>
    <x v="3"/>
    <x v="0"/>
    <x v="2"/>
  </r>
  <r>
    <s v="TX500047"/>
    <x v="1"/>
    <x v="9"/>
    <n v="63.7"/>
    <n v="318.5"/>
    <x v="1"/>
    <d v="2025-01-03T00:00:00"/>
    <x v="1"/>
    <x v="1"/>
    <x v="1"/>
    <x v="0"/>
    <x v="9"/>
    <x v="3"/>
    <x v="0"/>
    <x v="1"/>
  </r>
  <r>
    <s v="TX500048"/>
    <x v="13"/>
    <x v="0"/>
    <n v="29.7"/>
    <n v="29.7"/>
    <x v="1"/>
    <d v="2025-01-04T00:00:00"/>
    <x v="2"/>
    <x v="1"/>
    <x v="0"/>
    <x v="0"/>
    <x v="11"/>
    <x v="1"/>
    <x v="0"/>
    <x v="2"/>
  </r>
  <r>
    <s v="TX500049"/>
    <x v="4"/>
    <x v="2"/>
    <n v="26.8"/>
    <n v="80.400000000000006"/>
    <x v="1"/>
    <d v="2025-01-11T00:00:00"/>
    <x v="2"/>
    <x v="1"/>
    <x v="2"/>
    <x v="0"/>
    <x v="11"/>
    <x v="8"/>
    <x v="0"/>
    <x v="2"/>
  </r>
  <r>
    <s v="TX500050"/>
    <x v="14"/>
    <x v="0"/>
    <n v="27"/>
    <n v="27"/>
    <x v="1"/>
    <d v="2025-01-04T00:00:00"/>
    <x v="2"/>
    <x v="0"/>
    <x v="0"/>
    <x v="0"/>
    <x v="18"/>
    <x v="1"/>
    <x v="0"/>
    <x v="2"/>
  </r>
  <r>
    <s v="TX500051"/>
    <x v="8"/>
    <x v="0"/>
    <n v="41.4"/>
    <n v="41.4"/>
    <x v="1"/>
    <d v="2025-01-03T00:00:00"/>
    <x v="1"/>
    <x v="1"/>
    <x v="2"/>
    <x v="0"/>
    <x v="19"/>
    <x v="3"/>
    <x v="0"/>
    <x v="1"/>
  </r>
  <r>
    <s v="TX500052"/>
    <x v="8"/>
    <x v="1"/>
    <n v="24.3"/>
    <n v="48.6"/>
    <x v="1"/>
    <d v="2025-01-05T00:00:00"/>
    <x v="2"/>
    <x v="1"/>
    <x v="0"/>
    <x v="0"/>
    <x v="19"/>
    <x v="2"/>
    <x v="0"/>
    <x v="2"/>
  </r>
  <r>
    <s v="TX500053"/>
    <x v="8"/>
    <x v="2"/>
    <n v="41.7"/>
    <n v="125.10000000000001"/>
    <x v="1"/>
    <d v="2025-01-04T00:00:00"/>
    <x v="1"/>
    <x v="0"/>
    <x v="2"/>
    <x v="0"/>
    <x v="20"/>
    <x v="1"/>
    <x v="0"/>
    <x v="1"/>
  </r>
  <r>
    <s v="TX500054"/>
    <x v="0"/>
    <x v="1"/>
    <n v="18"/>
    <n v="36"/>
    <x v="1"/>
    <d v="2025-01-03T00:00:00"/>
    <x v="2"/>
    <x v="0"/>
    <x v="2"/>
    <x v="0"/>
    <x v="21"/>
    <x v="3"/>
    <x v="0"/>
    <x v="2"/>
  </r>
  <r>
    <s v="TX500055"/>
    <x v="7"/>
    <x v="2"/>
    <n v="91.3"/>
    <n v="273.89999999999998"/>
    <x v="1"/>
    <d v="2025-01-05T00:00:00"/>
    <x v="1"/>
    <x v="2"/>
    <x v="2"/>
    <x v="0"/>
    <x v="3"/>
    <x v="2"/>
    <x v="0"/>
    <x v="1"/>
  </r>
  <r>
    <s v="TX500056"/>
    <x v="8"/>
    <x v="8"/>
    <n v="19.3"/>
    <n v="154.4"/>
    <x v="1"/>
    <d v="2025-01-03T00:00:00"/>
    <x v="1"/>
    <x v="0"/>
    <x v="0"/>
    <x v="0"/>
    <x v="3"/>
    <x v="3"/>
    <x v="0"/>
    <x v="1"/>
  </r>
  <r>
    <s v="TX500057"/>
    <x v="12"/>
    <x v="15"/>
    <n v="63.2"/>
    <n v="821.6"/>
    <x v="1"/>
    <d v="2025-01-03T00:00:00"/>
    <x v="2"/>
    <x v="0"/>
    <x v="0"/>
    <x v="0"/>
    <x v="3"/>
    <x v="3"/>
    <x v="0"/>
    <x v="2"/>
  </r>
  <r>
    <s v="TX500058"/>
    <x v="10"/>
    <x v="11"/>
    <n v="33.299999999999997"/>
    <n v="299.7"/>
    <x v="2"/>
    <d v="2025-01-11T00:00:00"/>
    <x v="2"/>
    <x v="0"/>
    <x v="2"/>
    <x v="0"/>
    <x v="3"/>
    <x v="9"/>
    <x v="0"/>
    <x v="2"/>
  </r>
  <r>
    <s v="TX500059"/>
    <x v="7"/>
    <x v="1"/>
    <n v="64.2"/>
    <n v="128.4"/>
    <x v="2"/>
    <d v="2025-01-04T00:00:00"/>
    <x v="1"/>
    <x v="0"/>
    <x v="2"/>
    <x v="0"/>
    <x v="3"/>
    <x v="3"/>
    <x v="0"/>
    <x v="1"/>
  </r>
  <r>
    <s v="TX500060"/>
    <x v="9"/>
    <x v="2"/>
    <n v="23.1"/>
    <n v="69.300000000000011"/>
    <x v="2"/>
    <d v="2025-01-06T00:00:00"/>
    <x v="2"/>
    <x v="1"/>
    <x v="2"/>
    <x v="0"/>
    <x v="3"/>
    <x v="2"/>
    <x v="0"/>
    <x v="2"/>
  </r>
  <r>
    <s v="TX500061"/>
    <x v="15"/>
    <x v="1"/>
    <n v="71.099999999999994"/>
    <n v="142.19999999999999"/>
    <x v="2"/>
    <d v="2025-01-05T00:00:00"/>
    <x v="2"/>
    <x v="3"/>
    <x v="1"/>
    <x v="0"/>
    <x v="3"/>
    <x v="1"/>
    <x v="0"/>
    <x v="2"/>
  </r>
  <r>
    <s v="TX500062"/>
    <x v="0"/>
    <x v="1"/>
    <n v="11.5"/>
    <n v="23"/>
    <x v="2"/>
    <d v="2025-01-04T00:00:00"/>
    <x v="2"/>
    <x v="0"/>
    <x v="0"/>
    <x v="0"/>
    <x v="3"/>
    <x v="3"/>
    <x v="0"/>
    <x v="2"/>
  </r>
  <r>
    <s v="TX500063"/>
    <x v="15"/>
    <x v="10"/>
    <n v="69.2"/>
    <n v="1314.8"/>
    <x v="2"/>
    <d v="2025-01-08T00:00:00"/>
    <x v="2"/>
    <x v="0"/>
    <x v="0"/>
    <x v="0"/>
    <x v="3"/>
    <x v="0"/>
    <x v="0"/>
    <x v="2"/>
  </r>
  <r>
    <s v="TX500064"/>
    <x v="0"/>
    <x v="0"/>
    <n v="26.8"/>
    <n v="26.8"/>
    <x v="2"/>
    <d v="2025-01-04T00:00:00"/>
    <x v="1"/>
    <x v="2"/>
    <x v="4"/>
    <x v="0"/>
    <x v="3"/>
    <x v="3"/>
    <x v="0"/>
    <x v="1"/>
  </r>
  <r>
    <s v="TX500065"/>
    <x v="16"/>
    <x v="2"/>
    <n v="31.2"/>
    <n v="93.6"/>
    <x v="2"/>
    <d v="2025-01-06T00:00:00"/>
    <x v="2"/>
    <x v="0"/>
    <x v="0"/>
    <x v="0"/>
    <x v="3"/>
    <x v="2"/>
    <x v="0"/>
    <x v="2"/>
  </r>
  <r>
    <s v="TX500066"/>
    <x v="12"/>
    <x v="1"/>
    <n v="113.2"/>
    <n v="226.4"/>
    <x v="2"/>
    <d v="2025-01-04T00:00:00"/>
    <x v="2"/>
    <x v="4"/>
    <x v="0"/>
    <x v="0"/>
    <x v="3"/>
    <x v="3"/>
    <x v="0"/>
    <x v="2"/>
  </r>
  <r>
    <s v="TX500067"/>
    <x v="10"/>
    <x v="8"/>
    <n v="21"/>
    <n v="168"/>
    <x v="2"/>
    <d v="2025-01-04T00:00:00"/>
    <x v="1"/>
    <x v="0"/>
    <x v="0"/>
    <x v="0"/>
    <x v="6"/>
    <x v="3"/>
    <x v="0"/>
    <x v="1"/>
  </r>
  <r>
    <s v="TX500068"/>
    <x v="1"/>
    <x v="1"/>
    <n v="89.1"/>
    <n v="178.2"/>
    <x v="2"/>
    <d v="2025-01-04T00:00:00"/>
    <x v="2"/>
    <x v="2"/>
    <x v="2"/>
    <x v="0"/>
    <x v="6"/>
    <x v="3"/>
    <x v="0"/>
    <x v="2"/>
  </r>
  <r>
    <s v="TX500069"/>
    <x v="1"/>
    <x v="0"/>
    <n v="97.7"/>
    <n v="97.7"/>
    <x v="2"/>
    <d v="2025-01-05T00:00:00"/>
    <x v="2"/>
    <x v="0"/>
    <x v="1"/>
    <x v="0"/>
    <x v="6"/>
    <x v="1"/>
    <x v="0"/>
    <x v="2"/>
  </r>
  <r>
    <s v="TX500070"/>
    <x v="15"/>
    <x v="12"/>
    <n v="97.7"/>
    <n v="390.8"/>
    <x v="2"/>
    <d v="2025-01-05T00:00:00"/>
    <x v="1"/>
    <x v="3"/>
    <x v="0"/>
    <x v="0"/>
    <x v="6"/>
    <x v="1"/>
    <x v="0"/>
    <x v="1"/>
  </r>
  <r>
    <s v="TX500071"/>
    <x v="17"/>
    <x v="2"/>
    <n v="47.4"/>
    <n v="142.19999999999999"/>
    <x v="2"/>
    <d v="2025-01-06T00:00:00"/>
    <x v="1"/>
    <x v="3"/>
    <x v="2"/>
    <x v="0"/>
    <x v="8"/>
    <x v="2"/>
    <x v="0"/>
    <x v="1"/>
  </r>
  <r>
    <s v="TX500072"/>
    <x v="7"/>
    <x v="0"/>
    <n v="89.6"/>
    <n v="89.6"/>
    <x v="2"/>
    <d v="2025-01-06T00:00:00"/>
    <x v="2"/>
    <x v="0"/>
    <x v="2"/>
    <x v="0"/>
    <x v="8"/>
    <x v="2"/>
    <x v="0"/>
    <x v="2"/>
  </r>
  <r>
    <s v="TX500073"/>
    <x v="10"/>
    <x v="16"/>
    <n v="28.4"/>
    <n v="511.2"/>
    <x v="2"/>
    <d v="2025-01-06T00:00:00"/>
    <x v="2"/>
    <x v="3"/>
    <x v="2"/>
    <x v="0"/>
    <x v="17"/>
    <x v="2"/>
    <x v="0"/>
    <x v="2"/>
  </r>
  <r>
    <s v="TX500074"/>
    <x v="0"/>
    <x v="1"/>
    <n v="17.899999999999999"/>
    <n v="35.799999999999997"/>
    <x v="2"/>
    <d v="2025-01-04T00:00:00"/>
    <x v="2"/>
    <x v="0"/>
    <x v="2"/>
    <x v="0"/>
    <x v="9"/>
    <x v="3"/>
    <x v="0"/>
    <x v="2"/>
  </r>
  <r>
    <s v="TX500075"/>
    <x v="9"/>
    <x v="1"/>
    <n v="48.4"/>
    <n v="96.8"/>
    <x v="2"/>
    <d v="2025-01-06T00:00:00"/>
    <x v="1"/>
    <x v="1"/>
    <x v="0"/>
    <x v="0"/>
    <x v="9"/>
    <x v="2"/>
    <x v="0"/>
    <x v="1"/>
  </r>
  <r>
    <s v="TX500076"/>
    <x v="12"/>
    <x v="12"/>
    <n v="44.4"/>
    <n v="177.6"/>
    <x v="2"/>
    <d v="2025-01-04T00:00:00"/>
    <x v="3"/>
    <x v="1"/>
    <x v="1"/>
    <x v="0"/>
    <x v="11"/>
    <x v="3"/>
    <x v="0"/>
    <x v="3"/>
  </r>
  <r>
    <s v="TX500077"/>
    <x v="2"/>
    <x v="8"/>
    <n v="103.7"/>
    <n v="829.6"/>
    <x v="2"/>
    <d v="2025-01-04T00:00:00"/>
    <x v="2"/>
    <x v="0"/>
    <x v="1"/>
    <x v="0"/>
    <x v="19"/>
    <x v="3"/>
    <x v="0"/>
    <x v="2"/>
  </r>
  <r>
    <s v="TX500078"/>
    <x v="5"/>
    <x v="12"/>
    <n v="58.6"/>
    <n v="234.4"/>
    <x v="2"/>
    <d v="2025-01-05T00:00:00"/>
    <x v="1"/>
    <x v="3"/>
    <x v="0"/>
    <x v="0"/>
    <x v="19"/>
    <x v="1"/>
    <x v="0"/>
    <x v="1"/>
  </r>
  <r>
    <s v="TX500079"/>
    <x v="9"/>
    <x v="12"/>
    <n v="54.8"/>
    <n v="219.2"/>
    <x v="2"/>
    <d v="2025-01-07T00:00:00"/>
    <x v="2"/>
    <x v="2"/>
    <x v="1"/>
    <x v="0"/>
    <x v="13"/>
    <x v="5"/>
    <x v="0"/>
    <x v="2"/>
  </r>
  <r>
    <s v="TX500080"/>
    <x v="12"/>
    <x v="2"/>
    <n v="78.8"/>
    <n v="236.39999999999998"/>
    <x v="2"/>
    <d v="2025-01-09T00:00:00"/>
    <x v="2"/>
    <x v="4"/>
    <x v="1"/>
    <x v="0"/>
    <x v="21"/>
    <x v="4"/>
    <x v="0"/>
    <x v="2"/>
  </r>
  <r>
    <s v="TX500081"/>
    <x v="18"/>
    <x v="9"/>
    <n v="36.799999999999997"/>
    <n v="184"/>
    <x v="2"/>
    <d v="2025-01-06T00:00:00"/>
    <x v="1"/>
    <x v="4"/>
    <x v="1"/>
    <x v="0"/>
    <x v="22"/>
    <x v="2"/>
    <x v="0"/>
    <x v="1"/>
  </r>
  <r>
    <s v="TX500082"/>
    <x v="6"/>
    <x v="13"/>
    <n v="50.6"/>
    <n v="303.60000000000002"/>
    <x v="2"/>
    <d v="2025-01-05T00:00:00"/>
    <x v="2"/>
    <x v="3"/>
    <x v="0"/>
    <x v="0"/>
    <x v="3"/>
    <x v="1"/>
    <x v="0"/>
    <x v="2"/>
  </r>
  <r>
    <s v="TX500083"/>
    <x v="15"/>
    <x v="2"/>
    <n v="36.799999999999997"/>
    <n v="110.39999999999999"/>
    <x v="2"/>
    <d v="2025-01-03T00:00:00"/>
    <x v="1"/>
    <x v="2"/>
    <x v="1"/>
    <x v="0"/>
    <x v="3"/>
    <x v="7"/>
    <x v="0"/>
    <x v="1"/>
  </r>
  <r>
    <s v="TX500084"/>
    <x v="8"/>
    <x v="11"/>
    <n v="41.8"/>
    <n v="376.2"/>
    <x v="3"/>
    <d v="2025-01-10T00:00:00"/>
    <x v="2"/>
    <x v="3"/>
    <x v="0"/>
    <x v="0"/>
    <x v="3"/>
    <x v="4"/>
    <x v="0"/>
    <x v="2"/>
  </r>
  <r>
    <s v="TX500085"/>
    <x v="18"/>
    <x v="0"/>
    <n v="77.3"/>
    <n v="77.3"/>
    <x v="3"/>
    <d v="2025-01-05T00:00:00"/>
    <x v="1"/>
    <x v="4"/>
    <x v="4"/>
    <x v="0"/>
    <x v="3"/>
    <x v="3"/>
    <x v="0"/>
    <x v="1"/>
  </r>
  <r>
    <s v="TX500086"/>
    <x v="8"/>
    <x v="12"/>
    <n v="19.8"/>
    <n v="79.2"/>
    <x v="3"/>
    <d v="2025-01-10T00:00:00"/>
    <x v="1"/>
    <x v="1"/>
    <x v="2"/>
    <x v="0"/>
    <x v="3"/>
    <x v="4"/>
    <x v="0"/>
    <x v="1"/>
  </r>
  <r>
    <s v="TX500087"/>
    <x v="13"/>
    <x v="12"/>
    <n v="15.5"/>
    <n v="62"/>
    <x v="3"/>
    <d v="2025-01-05T00:00:00"/>
    <x v="2"/>
    <x v="1"/>
    <x v="2"/>
    <x v="0"/>
    <x v="3"/>
    <x v="3"/>
    <x v="0"/>
    <x v="2"/>
  </r>
  <r>
    <s v="TX500088"/>
    <x v="12"/>
    <x v="0"/>
    <n v="46.8"/>
    <n v="46.8"/>
    <x v="3"/>
    <d v="2025-01-08T00:00:00"/>
    <x v="1"/>
    <x v="0"/>
    <x v="2"/>
    <x v="0"/>
    <x v="3"/>
    <x v="5"/>
    <x v="0"/>
    <x v="1"/>
  </r>
  <r>
    <s v="TX500089"/>
    <x v="9"/>
    <x v="11"/>
    <n v="28.6"/>
    <n v="257.40000000000003"/>
    <x v="3"/>
    <d v="2025-01-08T00:00:00"/>
    <x v="1"/>
    <x v="0"/>
    <x v="2"/>
    <x v="0"/>
    <x v="3"/>
    <x v="5"/>
    <x v="0"/>
    <x v="1"/>
  </r>
  <r>
    <s v="TX500090"/>
    <x v="2"/>
    <x v="0"/>
    <n v="97.7"/>
    <n v="97.7"/>
    <x v="3"/>
    <d v="2025-01-07T00:00:00"/>
    <x v="2"/>
    <x v="1"/>
    <x v="0"/>
    <x v="0"/>
    <x v="3"/>
    <x v="2"/>
    <x v="0"/>
    <x v="2"/>
  </r>
  <r>
    <s v="TX500091"/>
    <x v="9"/>
    <x v="9"/>
    <n v="54.7"/>
    <n v="273.5"/>
    <x v="3"/>
    <d v="2025-01-07T00:00:00"/>
    <x v="0"/>
    <x v="0"/>
    <x v="2"/>
    <x v="0"/>
    <x v="23"/>
    <x v="2"/>
    <x v="0"/>
    <x v="0"/>
  </r>
  <r>
    <s v="TX500092"/>
    <x v="2"/>
    <x v="13"/>
    <n v="130.5"/>
    <n v="783"/>
    <x v="3"/>
    <d v="2025-01-06T00:00:00"/>
    <x v="2"/>
    <x v="0"/>
    <x v="1"/>
    <x v="0"/>
    <x v="23"/>
    <x v="1"/>
    <x v="0"/>
    <x v="2"/>
  </r>
  <r>
    <s v="TX500093"/>
    <x v="11"/>
    <x v="1"/>
    <n v="50.4"/>
    <n v="100.8"/>
    <x v="3"/>
    <d v="2025-01-06T00:00:00"/>
    <x v="1"/>
    <x v="2"/>
    <x v="2"/>
    <x v="0"/>
    <x v="6"/>
    <x v="1"/>
    <x v="0"/>
    <x v="1"/>
  </r>
  <r>
    <s v="TX500094"/>
    <x v="6"/>
    <x v="15"/>
    <n v="61.5"/>
    <n v="799.5"/>
    <x v="3"/>
    <d v="2025-01-05T00:00:00"/>
    <x v="0"/>
    <x v="3"/>
    <x v="1"/>
    <x v="0"/>
    <x v="11"/>
    <x v="3"/>
    <x v="0"/>
    <x v="0"/>
  </r>
  <r>
    <s v="TX500095"/>
    <x v="9"/>
    <x v="12"/>
    <n v="30.1"/>
    <n v="120.4"/>
    <x v="3"/>
    <d v="2025-01-05T00:00:00"/>
    <x v="2"/>
    <x v="0"/>
    <x v="2"/>
    <x v="0"/>
    <x v="21"/>
    <x v="3"/>
    <x v="0"/>
    <x v="2"/>
  </r>
  <r>
    <s v="TX500096"/>
    <x v="2"/>
    <x v="9"/>
    <n v="74.8"/>
    <n v="374"/>
    <x v="3"/>
    <d v="2025-01-05T00:00:00"/>
    <x v="2"/>
    <x v="1"/>
    <x v="0"/>
    <x v="0"/>
    <x v="1"/>
    <x v="3"/>
    <x v="0"/>
    <x v="2"/>
  </r>
  <r>
    <s v="TX500097"/>
    <x v="16"/>
    <x v="2"/>
    <n v="64.900000000000006"/>
    <n v="194.70000000000002"/>
    <x v="3"/>
    <d v="2025-01-11T00:00:00"/>
    <x v="1"/>
    <x v="0"/>
    <x v="0"/>
    <x v="0"/>
    <x v="2"/>
    <x v="6"/>
    <x v="0"/>
    <x v="1"/>
  </r>
  <r>
    <s v="TX500098"/>
    <x v="9"/>
    <x v="1"/>
    <n v="50.5"/>
    <n v="101"/>
    <x v="3"/>
    <d v="2025-01-06T00:00:00"/>
    <x v="1"/>
    <x v="1"/>
    <x v="0"/>
    <x v="0"/>
    <x v="22"/>
    <x v="1"/>
    <x v="0"/>
    <x v="1"/>
  </r>
  <r>
    <s v="TX500099"/>
    <x v="11"/>
    <x v="3"/>
    <n v="63"/>
    <n v="441"/>
    <x v="3"/>
    <d v="2025-01-07T00:00:00"/>
    <x v="1"/>
    <x v="3"/>
    <x v="2"/>
    <x v="0"/>
    <x v="3"/>
    <x v="2"/>
    <x v="0"/>
    <x v="1"/>
  </r>
  <r>
    <s v="TX500100"/>
    <x v="2"/>
    <x v="2"/>
    <n v="93.6"/>
    <n v="280.79999999999995"/>
    <x v="3"/>
    <d v="2025-01-17T00:00:00"/>
    <x v="2"/>
    <x v="0"/>
    <x v="2"/>
    <x v="0"/>
    <x v="3"/>
    <x v="10"/>
    <x v="0"/>
    <x v="2"/>
  </r>
  <r>
    <s v="TX500101"/>
    <x v="5"/>
    <x v="17"/>
    <n v="41.4"/>
    <n v="1242"/>
    <x v="3"/>
    <d v="2025-01-08T00:00:00"/>
    <x v="1"/>
    <x v="2"/>
    <x v="2"/>
    <x v="0"/>
    <x v="3"/>
    <x v="5"/>
    <x v="0"/>
    <x v="1"/>
  </r>
  <r>
    <s v="TX500102"/>
    <x v="2"/>
    <x v="1"/>
    <n v="160"/>
    <n v="320"/>
    <x v="4"/>
    <d v="2025-01-06T00:00:00"/>
    <x v="1"/>
    <x v="2"/>
    <x v="2"/>
    <x v="0"/>
    <x v="5"/>
    <x v="3"/>
    <x v="1"/>
    <x v="1"/>
  </r>
  <r>
    <s v="TX500103"/>
    <x v="19"/>
    <x v="5"/>
    <n v="10.5"/>
    <n v="115.5"/>
    <x v="4"/>
    <d v="2025-01-08T00:00:00"/>
    <x v="2"/>
    <x v="4"/>
    <x v="0"/>
    <x v="0"/>
    <x v="8"/>
    <x v="2"/>
    <x v="1"/>
    <x v="2"/>
  </r>
  <r>
    <s v="TX500104"/>
    <x v="10"/>
    <x v="1"/>
    <n v="53"/>
    <n v="106"/>
    <x v="4"/>
    <d v="2025-01-05T00:00:00"/>
    <x v="1"/>
    <x v="2"/>
    <x v="4"/>
    <x v="0"/>
    <x v="17"/>
    <x v="7"/>
    <x v="1"/>
    <x v="1"/>
  </r>
  <r>
    <s v="TX500105"/>
    <x v="8"/>
    <x v="2"/>
    <n v="18.5"/>
    <n v="55.5"/>
    <x v="4"/>
    <d v="2025-01-10T00:00:00"/>
    <x v="2"/>
    <x v="1"/>
    <x v="2"/>
    <x v="0"/>
    <x v="11"/>
    <x v="0"/>
    <x v="1"/>
    <x v="2"/>
  </r>
  <r>
    <s v="TX500106"/>
    <x v="16"/>
    <x v="2"/>
    <n v="84.5"/>
    <n v="253.5"/>
    <x v="4"/>
    <d v="2025-01-07T00:00:00"/>
    <x v="2"/>
    <x v="4"/>
    <x v="1"/>
    <x v="0"/>
    <x v="13"/>
    <x v="1"/>
    <x v="1"/>
    <x v="2"/>
  </r>
  <r>
    <s v="TX500107"/>
    <x v="15"/>
    <x v="3"/>
    <n v="31.2"/>
    <n v="218.4"/>
    <x v="4"/>
    <d v="2025-01-05T00:00:00"/>
    <x v="2"/>
    <x v="2"/>
    <x v="2"/>
    <x v="0"/>
    <x v="3"/>
    <x v="7"/>
    <x v="1"/>
    <x v="2"/>
  </r>
  <r>
    <s v="TX500108"/>
    <x v="8"/>
    <x v="16"/>
    <n v="32.6"/>
    <n v="586.80000000000007"/>
    <x v="4"/>
    <d v="2025-01-06T00:00:00"/>
    <x v="1"/>
    <x v="1"/>
    <x v="1"/>
    <x v="0"/>
    <x v="3"/>
    <x v="3"/>
    <x v="1"/>
    <x v="1"/>
  </r>
  <r>
    <s v="TX500109"/>
    <x v="10"/>
    <x v="12"/>
    <n v="45.4"/>
    <n v="181.6"/>
    <x v="4"/>
    <d v="2025-01-07T00:00:00"/>
    <x v="1"/>
    <x v="1"/>
    <x v="0"/>
    <x v="0"/>
    <x v="3"/>
    <x v="1"/>
    <x v="1"/>
    <x v="1"/>
  </r>
  <r>
    <s v="TX500110"/>
    <x v="2"/>
    <x v="4"/>
    <n v="120"/>
    <n v="1440"/>
    <x v="4"/>
    <d v="2025-01-06T00:00:00"/>
    <x v="2"/>
    <x v="2"/>
    <x v="4"/>
    <x v="0"/>
    <x v="3"/>
    <x v="3"/>
    <x v="1"/>
    <x v="2"/>
  </r>
  <r>
    <s v="TX500111"/>
    <x v="0"/>
    <x v="12"/>
    <n v="18.899999999999999"/>
    <n v="75.599999999999994"/>
    <x v="4"/>
    <d v="2025-01-07T00:00:00"/>
    <x v="1"/>
    <x v="0"/>
    <x v="2"/>
    <x v="0"/>
    <x v="3"/>
    <x v="1"/>
    <x v="1"/>
    <x v="1"/>
  </r>
  <r>
    <s v="TX500112"/>
    <x v="4"/>
    <x v="0"/>
    <n v="32"/>
    <n v="32"/>
    <x v="4"/>
    <d v="2025-01-07T00:00:00"/>
    <x v="2"/>
    <x v="4"/>
    <x v="0"/>
    <x v="0"/>
    <x v="3"/>
    <x v="1"/>
    <x v="1"/>
    <x v="2"/>
  </r>
  <r>
    <s v="TX500113"/>
    <x v="7"/>
    <x v="1"/>
    <n v="37.299999999999997"/>
    <n v="74.599999999999994"/>
    <x v="4"/>
    <d v="2025-01-06T00:00:00"/>
    <x v="1"/>
    <x v="2"/>
    <x v="0"/>
    <x v="0"/>
    <x v="3"/>
    <x v="3"/>
    <x v="1"/>
    <x v="1"/>
  </r>
  <r>
    <s v="TX500114"/>
    <x v="18"/>
    <x v="0"/>
    <n v="119.8"/>
    <n v="119.8"/>
    <x v="4"/>
    <d v="2025-01-06T00:00:00"/>
    <x v="1"/>
    <x v="1"/>
    <x v="1"/>
    <x v="0"/>
    <x v="3"/>
    <x v="3"/>
    <x v="1"/>
    <x v="1"/>
  </r>
  <r>
    <s v="TX500115"/>
    <x v="10"/>
    <x v="1"/>
    <n v="26.4"/>
    <n v="52.8"/>
    <x v="4"/>
    <d v="2025-01-08T00:00:00"/>
    <x v="1"/>
    <x v="2"/>
    <x v="0"/>
    <x v="0"/>
    <x v="3"/>
    <x v="2"/>
    <x v="1"/>
    <x v="1"/>
  </r>
  <r>
    <s v="TX500116"/>
    <x v="6"/>
    <x v="13"/>
    <n v="76.5"/>
    <n v="459"/>
    <x v="4"/>
    <d v="2025-01-06T00:00:00"/>
    <x v="2"/>
    <x v="1"/>
    <x v="1"/>
    <x v="0"/>
    <x v="3"/>
    <x v="3"/>
    <x v="1"/>
    <x v="2"/>
  </r>
  <r>
    <s v="TX500117"/>
    <x v="4"/>
    <x v="7"/>
    <n v="45.7"/>
    <n v="457"/>
    <x v="4"/>
    <d v="2025-01-06T00:00:00"/>
    <x v="2"/>
    <x v="2"/>
    <x v="0"/>
    <x v="0"/>
    <x v="24"/>
    <x v="3"/>
    <x v="1"/>
    <x v="2"/>
  </r>
  <r>
    <s v="TX500118"/>
    <x v="1"/>
    <x v="4"/>
    <n v="92.6"/>
    <n v="1111.1999999999998"/>
    <x v="4"/>
    <d v="2025-01-07T00:00:00"/>
    <x v="2"/>
    <x v="2"/>
    <x v="0"/>
    <x v="0"/>
    <x v="25"/>
    <x v="1"/>
    <x v="1"/>
    <x v="2"/>
  </r>
  <r>
    <s v="TX500119"/>
    <x v="6"/>
    <x v="13"/>
    <n v="60.1"/>
    <n v="360.6"/>
    <x v="4"/>
    <d v="2025-01-06T00:00:00"/>
    <x v="1"/>
    <x v="1"/>
    <x v="0"/>
    <x v="0"/>
    <x v="23"/>
    <x v="3"/>
    <x v="1"/>
    <x v="1"/>
  </r>
  <r>
    <s v="TX500120"/>
    <x v="1"/>
    <x v="2"/>
    <n v="73"/>
    <n v="219"/>
    <x v="4"/>
    <d v="2025-01-06T00:00:00"/>
    <x v="2"/>
    <x v="3"/>
    <x v="1"/>
    <x v="0"/>
    <x v="6"/>
    <x v="3"/>
    <x v="1"/>
    <x v="2"/>
  </r>
  <r>
    <s v="TX500121"/>
    <x v="6"/>
    <x v="2"/>
    <n v="44.3"/>
    <n v="132.89999999999998"/>
    <x v="4"/>
    <d v="2025-01-09T00:00:00"/>
    <x v="0"/>
    <x v="2"/>
    <x v="2"/>
    <x v="0"/>
    <x v="6"/>
    <x v="5"/>
    <x v="1"/>
    <x v="0"/>
  </r>
  <r>
    <s v="TX500122"/>
    <x v="6"/>
    <x v="2"/>
    <n v="63.3"/>
    <n v="189.89999999999998"/>
    <x v="4"/>
    <d v="2025-01-06T00:00:00"/>
    <x v="1"/>
    <x v="2"/>
    <x v="0"/>
    <x v="0"/>
    <x v="6"/>
    <x v="3"/>
    <x v="1"/>
    <x v="1"/>
  </r>
  <r>
    <s v="TX500123"/>
    <x v="12"/>
    <x v="0"/>
    <n v="66.8"/>
    <n v="66.8"/>
    <x v="4"/>
    <d v="2025-01-06T00:00:00"/>
    <x v="2"/>
    <x v="1"/>
    <x v="0"/>
    <x v="0"/>
    <x v="6"/>
    <x v="3"/>
    <x v="1"/>
    <x v="2"/>
  </r>
  <r>
    <s v="TX500124"/>
    <x v="2"/>
    <x v="1"/>
    <n v="59.7"/>
    <n v="119.4"/>
    <x v="4"/>
    <d v="2025-01-06T00:00:00"/>
    <x v="2"/>
    <x v="0"/>
    <x v="0"/>
    <x v="0"/>
    <x v="7"/>
    <x v="3"/>
    <x v="1"/>
    <x v="2"/>
  </r>
  <r>
    <s v="TX500125"/>
    <x v="1"/>
    <x v="13"/>
    <n v="92"/>
    <n v="552"/>
    <x v="4"/>
    <d v="2025-01-07T00:00:00"/>
    <x v="1"/>
    <x v="0"/>
    <x v="4"/>
    <x v="0"/>
    <x v="7"/>
    <x v="1"/>
    <x v="1"/>
    <x v="1"/>
  </r>
  <r>
    <s v="TX500126"/>
    <x v="7"/>
    <x v="1"/>
    <n v="87.6"/>
    <n v="175.2"/>
    <x v="4"/>
    <d v="2025-01-07T00:00:00"/>
    <x v="1"/>
    <x v="1"/>
    <x v="1"/>
    <x v="0"/>
    <x v="8"/>
    <x v="1"/>
    <x v="1"/>
    <x v="1"/>
  </r>
  <r>
    <s v="TX500127"/>
    <x v="6"/>
    <x v="2"/>
    <n v="84.5"/>
    <n v="253.5"/>
    <x v="4"/>
    <d v="2025-01-06T00:00:00"/>
    <x v="2"/>
    <x v="1"/>
    <x v="1"/>
    <x v="0"/>
    <x v="8"/>
    <x v="3"/>
    <x v="1"/>
    <x v="2"/>
  </r>
  <r>
    <s v="TX500128"/>
    <x v="1"/>
    <x v="1"/>
    <n v="116.3"/>
    <n v="232.6"/>
    <x v="5"/>
    <d v="2025-01-08T00:00:00"/>
    <x v="1"/>
    <x v="2"/>
    <x v="2"/>
    <x v="0"/>
    <x v="8"/>
    <x v="1"/>
    <x v="1"/>
    <x v="1"/>
  </r>
  <r>
    <s v="TX500129"/>
    <x v="6"/>
    <x v="9"/>
    <n v="52.7"/>
    <n v="263.5"/>
    <x v="5"/>
    <d v="2025-01-10T00:00:00"/>
    <x v="1"/>
    <x v="0"/>
    <x v="0"/>
    <x v="0"/>
    <x v="8"/>
    <x v="5"/>
    <x v="1"/>
    <x v="1"/>
  </r>
  <r>
    <s v="TX500130"/>
    <x v="16"/>
    <x v="2"/>
    <n v="34.200000000000003"/>
    <n v="102.60000000000001"/>
    <x v="5"/>
    <d v="2025-01-07T00:00:00"/>
    <x v="1"/>
    <x v="0"/>
    <x v="2"/>
    <x v="0"/>
    <x v="26"/>
    <x v="3"/>
    <x v="1"/>
    <x v="1"/>
  </r>
  <r>
    <s v="TX500131"/>
    <x v="9"/>
    <x v="0"/>
    <n v="23.3"/>
    <n v="23.3"/>
    <x v="5"/>
    <d v="2025-01-15T00:00:00"/>
    <x v="3"/>
    <x v="2"/>
    <x v="2"/>
    <x v="0"/>
    <x v="9"/>
    <x v="8"/>
    <x v="1"/>
    <x v="3"/>
  </r>
  <r>
    <s v="TX500132"/>
    <x v="0"/>
    <x v="18"/>
    <n v="25.9"/>
    <n v="673.4"/>
    <x v="5"/>
    <d v="2025-01-09T00:00:00"/>
    <x v="2"/>
    <x v="4"/>
    <x v="1"/>
    <x v="0"/>
    <x v="9"/>
    <x v="2"/>
    <x v="1"/>
    <x v="2"/>
  </r>
  <r>
    <s v="TX500133"/>
    <x v="6"/>
    <x v="19"/>
    <n v="54.9"/>
    <n v="1592.1"/>
    <x v="5"/>
    <d v="2025-01-07T00:00:00"/>
    <x v="1"/>
    <x v="1"/>
    <x v="2"/>
    <x v="0"/>
    <x v="9"/>
    <x v="3"/>
    <x v="1"/>
    <x v="1"/>
  </r>
  <r>
    <s v="TX500134"/>
    <x v="5"/>
    <x v="2"/>
    <n v="75.8"/>
    <n v="227.39999999999998"/>
    <x v="5"/>
    <d v="2025-01-11T00:00:00"/>
    <x v="3"/>
    <x v="1"/>
    <x v="0"/>
    <x v="0"/>
    <x v="18"/>
    <x v="0"/>
    <x v="1"/>
    <x v="3"/>
  </r>
  <r>
    <s v="TX500135"/>
    <x v="1"/>
    <x v="11"/>
    <n v="44.9"/>
    <n v="404.09999999999997"/>
    <x v="5"/>
    <d v="2025-01-09T00:00:00"/>
    <x v="2"/>
    <x v="2"/>
    <x v="2"/>
    <x v="0"/>
    <x v="2"/>
    <x v="2"/>
    <x v="1"/>
    <x v="2"/>
  </r>
  <r>
    <s v="TX500136"/>
    <x v="11"/>
    <x v="1"/>
    <n v="48.8"/>
    <n v="97.6"/>
    <x v="5"/>
    <d v="2025-01-08T00:00:00"/>
    <x v="2"/>
    <x v="3"/>
    <x v="0"/>
    <x v="0"/>
    <x v="27"/>
    <x v="1"/>
    <x v="1"/>
    <x v="2"/>
  </r>
  <r>
    <s v="TX500137"/>
    <x v="15"/>
    <x v="0"/>
    <n v="20.3"/>
    <n v="20.3"/>
    <x v="5"/>
    <d v="2025-01-07T00:00:00"/>
    <x v="2"/>
    <x v="0"/>
    <x v="2"/>
    <x v="0"/>
    <x v="22"/>
    <x v="3"/>
    <x v="1"/>
    <x v="2"/>
  </r>
  <r>
    <s v="TX500138"/>
    <x v="5"/>
    <x v="3"/>
    <n v="36.4"/>
    <n v="254.79999999999998"/>
    <x v="5"/>
    <d v="2025-01-09T00:00:00"/>
    <x v="2"/>
    <x v="0"/>
    <x v="1"/>
    <x v="0"/>
    <x v="3"/>
    <x v="2"/>
    <x v="1"/>
    <x v="2"/>
  </r>
  <r>
    <s v="TX500139"/>
    <x v="0"/>
    <x v="0"/>
    <n v="19"/>
    <n v="19"/>
    <x v="5"/>
    <d v="2025-01-11T00:00:00"/>
    <x v="2"/>
    <x v="1"/>
    <x v="2"/>
    <x v="0"/>
    <x v="3"/>
    <x v="0"/>
    <x v="1"/>
    <x v="2"/>
  </r>
  <r>
    <s v="TX500140"/>
    <x v="8"/>
    <x v="0"/>
    <n v="17.8"/>
    <n v="17.8"/>
    <x v="5"/>
    <d v="2025-01-06T00:00:00"/>
    <x v="1"/>
    <x v="0"/>
    <x v="0"/>
    <x v="0"/>
    <x v="3"/>
    <x v="7"/>
    <x v="1"/>
    <x v="1"/>
  </r>
  <r>
    <s v="TX500141"/>
    <x v="2"/>
    <x v="13"/>
    <n v="139.6"/>
    <n v="837.59999999999991"/>
    <x v="5"/>
    <d v="2025-01-09T00:00:00"/>
    <x v="1"/>
    <x v="0"/>
    <x v="0"/>
    <x v="0"/>
    <x v="3"/>
    <x v="2"/>
    <x v="1"/>
    <x v="1"/>
  </r>
  <r>
    <s v="TX500142"/>
    <x v="9"/>
    <x v="0"/>
    <n v="31.7"/>
    <n v="31.7"/>
    <x v="5"/>
    <d v="2025-01-06T00:00:00"/>
    <x v="0"/>
    <x v="0"/>
    <x v="0"/>
    <x v="0"/>
    <x v="3"/>
    <x v="7"/>
    <x v="1"/>
    <x v="0"/>
  </r>
  <r>
    <s v="TX500143"/>
    <x v="8"/>
    <x v="8"/>
    <n v="26.3"/>
    <n v="210.4"/>
    <x v="5"/>
    <d v="2025-01-09T00:00:00"/>
    <x v="2"/>
    <x v="4"/>
    <x v="4"/>
    <x v="0"/>
    <x v="3"/>
    <x v="2"/>
    <x v="1"/>
    <x v="2"/>
  </r>
  <r>
    <s v="TX500144"/>
    <x v="4"/>
    <x v="1"/>
    <n v="47.8"/>
    <n v="95.6"/>
    <x v="5"/>
    <d v="2025-01-07T00:00:00"/>
    <x v="0"/>
    <x v="0"/>
    <x v="0"/>
    <x v="0"/>
    <x v="3"/>
    <x v="3"/>
    <x v="1"/>
    <x v="0"/>
  </r>
  <r>
    <s v="TX500145"/>
    <x v="9"/>
    <x v="2"/>
    <n v="69.400000000000006"/>
    <n v="208.20000000000002"/>
    <x v="5"/>
    <d v="2025-01-10T00:00:00"/>
    <x v="2"/>
    <x v="0"/>
    <x v="0"/>
    <x v="0"/>
    <x v="3"/>
    <x v="5"/>
    <x v="1"/>
    <x v="2"/>
  </r>
  <r>
    <s v="TX500146"/>
    <x v="18"/>
    <x v="4"/>
    <n v="25.8"/>
    <n v="309.60000000000002"/>
    <x v="5"/>
    <d v="2025-01-07T00:00:00"/>
    <x v="1"/>
    <x v="4"/>
    <x v="4"/>
    <x v="0"/>
    <x v="3"/>
    <x v="3"/>
    <x v="1"/>
    <x v="1"/>
  </r>
  <r>
    <s v="TX500147"/>
    <x v="0"/>
    <x v="12"/>
    <n v="26.4"/>
    <n v="105.6"/>
    <x v="5"/>
    <d v="2025-01-07T00:00:00"/>
    <x v="1"/>
    <x v="1"/>
    <x v="2"/>
    <x v="0"/>
    <x v="3"/>
    <x v="3"/>
    <x v="1"/>
    <x v="1"/>
  </r>
  <r>
    <s v="TX500148"/>
    <x v="8"/>
    <x v="12"/>
    <n v="15.7"/>
    <n v="62.8"/>
    <x v="5"/>
    <d v="2025-01-07T00:00:00"/>
    <x v="1"/>
    <x v="2"/>
    <x v="0"/>
    <x v="0"/>
    <x v="3"/>
    <x v="3"/>
    <x v="1"/>
    <x v="1"/>
  </r>
  <r>
    <s v="TX500149"/>
    <x v="8"/>
    <x v="0"/>
    <n v="39.700000000000003"/>
    <n v="39.700000000000003"/>
    <x v="5"/>
    <d v="2025-01-10T00:00:00"/>
    <x v="1"/>
    <x v="0"/>
    <x v="0"/>
    <x v="0"/>
    <x v="3"/>
    <x v="5"/>
    <x v="1"/>
    <x v="1"/>
  </r>
  <r>
    <s v="TX500150"/>
    <x v="10"/>
    <x v="12"/>
    <n v="31.1"/>
    <n v="124.4"/>
    <x v="5"/>
    <d v="2025-01-08T00:00:00"/>
    <x v="2"/>
    <x v="2"/>
    <x v="1"/>
    <x v="0"/>
    <x v="3"/>
    <x v="1"/>
    <x v="1"/>
    <x v="2"/>
  </r>
  <r>
    <s v="TX500151"/>
    <x v="13"/>
    <x v="20"/>
    <n v="23.4"/>
    <n v="351"/>
    <x v="5"/>
    <d v="2025-01-15T00:00:00"/>
    <x v="1"/>
    <x v="0"/>
    <x v="0"/>
    <x v="0"/>
    <x v="3"/>
    <x v="8"/>
    <x v="1"/>
    <x v="1"/>
  </r>
  <r>
    <s v="TX500152"/>
    <x v="1"/>
    <x v="12"/>
    <n v="57.1"/>
    <n v="228.4"/>
    <x v="6"/>
    <d v="2025-01-08T00:00:00"/>
    <x v="1"/>
    <x v="2"/>
    <x v="0"/>
    <x v="0"/>
    <x v="25"/>
    <x v="3"/>
    <x v="1"/>
    <x v="1"/>
  </r>
  <r>
    <s v="TX500153"/>
    <x v="2"/>
    <x v="9"/>
    <n v="89.9"/>
    <n v="449.5"/>
    <x v="6"/>
    <d v="2025-01-07T00:00:00"/>
    <x v="2"/>
    <x v="0"/>
    <x v="3"/>
    <x v="0"/>
    <x v="23"/>
    <x v="7"/>
    <x v="1"/>
    <x v="2"/>
  </r>
  <r>
    <s v="TX500154"/>
    <x v="10"/>
    <x v="3"/>
    <n v="48.1"/>
    <n v="336.7"/>
    <x v="6"/>
    <d v="2025-01-09T00:00:00"/>
    <x v="2"/>
    <x v="1"/>
    <x v="2"/>
    <x v="0"/>
    <x v="6"/>
    <x v="1"/>
    <x v="1"/>
    <x v="2"/>
  </r>
  <r>
    <s v="TX500155"/>
    <x v="8"/>
    <x v="1"/>
    <n v="29.3"/>
    <n v="58.6"/>
    <x v="6"/>
    <d v="2025-01-07T00:00:00"/>
    <x v="2"/>
    <x v="1"/>
    <x v="1"/>
    <x v="0"/>
    <x v="6"/>
    <x v="7"/>
    <x v="1"/>
    <x v="2"/>
  </r>
  <r>
    <s v="TX500156"/>
    <x v="8"/>
    <x v="12"/>
    <n v="28.8"/>
    <n v="115.2"/>
    <x v="6"/>
    <d v="2025-01-08T00:00:00"/>
    <x v="2"/>
    <x v="0"/>
    <x v="4"/>
    <x v="0"/>
    <x v="6"/>
    <x v="3"/>
    <x v="1"/>
    <x v="2"/>
  </r>
  <r>
    <s v="TX500157"/>
    <x v="10"/>
    <x v="9"/>
    <n v="40.5"/>
    <n v="202.5"/>
    <x v="6"/>
    <d v="2025-01-11T00:00:00"/>
    <x v="2"/>
    <x v="3"/>
    <x v="0"/>
    <x v="0"/>
    <x v="6"/>
    <x v="5"/>
    <x v="1"/>
    <x v="2"/>
  </r>
  <r>
    <s v="TX500158"/>
    <x v="18"/>
    <x v="21"/>
    <n v="65.099999999999994"/>
    <n v="911.39999999999986"/>
    <x v="6"/>
    <d v="2025-01-08T00:00:00"/>
    <x v="2"/>
    <x v="4"/>
    <x v="0"/>
    <x v="0"/>
    <x v="7"/>
    <x v="3"/>
    <x v="1"/>
    <x v="2"/>
  </r>
  <r>
    <s v="TX500159"/>
    <x v="8"/>
    <x v="12"/>
    <n v="40.299999999999997"/>
    <n v="161.19999999999999"/>
    <x v="6"/>
    <d v="2025-01-12T00:00:00"/>
    <x v="2"/>
    <x v="2"/>
    <x v="0"/>
    <x v="0"/>
    <x v="7"/>
    <x v="0"/>
    <x v="1"/>
    <x v="2"/>
  </r>
  <r>
    <s v="TX500160"/>
    <x v="6"/>
    <x v="9"/>
    <n v="51.8"/>
    <n v="259"/>
    <x v="6"/>
    <d v="2025-01-08T00:00:00"/>
    <x v="1"/>
    <x v="2"/>
    <x v="2"/>
    <x v="0"/>
    <x v="8"/>
    <x v="3"/>
    <x v="1"/>
    <x v="1"/>
  </r>
  <r>
    <s v="TX500161"/>
    <x v="6"/>
    <x v="2"/>
    <n v="61.3"/>
    <n v="183.89999999999998"/>
    <x v="6"/>
    <d v="2025-01-08T00:00:00"/>
    <x v="2"/>
    <x v="3"/>
    <x v="0"/>
    <x v="0"/>
    <x v="8"/>
    <x v="3"/>
    <x v="1"/>
    <x v="2"/>
  </r>
  <r>
    <s v="TX500162"/>
    <x v="2"/>
    <x v="12"/>
    <n v="122.5"/>
    <n v="490"/>
    <x v="6"/>
    <d v="2025-01-08T00:00:00"/>
    <x v="1"/>
    <x v="0"/>
    <x v="0"/>
    <x v="0"/>
    <x v="8"/>
    <x v="3"/>
    <x v="1"/>
    <x v="1"/>
  </r>
  <r>
    <s v="TX500163"/>
    <x v="0"/>
    <x v="11"/>
    <n v="12.5"/>
    <n v="112.5"/>
    <x v="6"/>
    <d v="2025-01-08T00:00:00"/>
    <x v="0"/>
    <x v="1"/>
    <x v="2"/>
    <x v="0"/>
    <x v="8"/>
    <x v="3"/>
    <x v="1"/>
    <x v="0"/>
  </r>
  <r>
    <s v="TX500164"/>
    <x v="15"/>
    <x v="8"/>
    <n v="37.5"/>
    <n v="300"/>
    <x v="6"/>
    <d v="2025-01-08T00:00:00"/>
    <x v="2"/>
    <x v="0"/>
    <x v="0"/>
    <x v="0"/>
    <x v="9"/>
    <x v="3"/>
    <x v="1"/>
    <x v="2"/>
  </r>
  <r>
    <s v="TX500165"/>
    <x v="6"/>
    <x v="2"/>
    <n v="40"/>
    <n v="120"/>
    <x v="6"/>
    <d v="2025-01-10T00:00:00"/>
    <x v="1"/>
    <x v="0"/>
    <x v="4"/>
    <x v="0"/>
    <x v="11"/>
    <x v="2"/>
    <x v="1"/>
    <x v="1"/>
  </r>
  <r>
    <s v="TX500166"/>
    <x v="17"/>
    <x v="8"/>
    <n v="38.5"/>
    <n v="308"/>
    <x v="6"/>
    <d v="2025-01-12T00:00:00"/>
    <x v="2"/>
    <x v="2"/>
    <x v="1"/>
    <x v="0"/>
    <x v="11"/>
    <x v="0"/>
    <x v="1"/>
    <x v="2"/>
  </r>
  <r>
    <s v="TX500167"/>
    <x v="2"/>
    <x v="1"/>
    <n v="86.4"/>
    <n v="172.8"/>
    <x v="6"/>
    <d v="2025-01-09T00:00:00"/>
    <x v="2"/>
    <x v="0"/>
    <x v="0"/>
    <x v="0"/>
    <x v="18"/>
    <x v="1"/>
    <x v="1"/>
    <x v="2"/>
  </r>
  <r>
    <s v="TX500168"/>
    <x v="10"/>
    <x v="0"/>
    <n v="50.7"/>
    <n v="50.7"/>
    <x v="6"/>
    <d v="2025-01-11T00:00:00"/>
    <x v="2"/>
    <x v="1"/>
    <x v="0"/>
    <x v="0"/>
    <x v="18"/>
    <x v="5"/>
    <x v="1"/>
    <x v="2"/>
  </r>
  <r>
    <s v="TX500169"/>
    <x v="10"/>
    <x v="1"/>
    <n v="61"/>
    <n v="122"/>
    <x v="6"/>
    <d v="2025-01-18T00:00:00"/>
    <x v="2"/>
    <x v="4"/>
    <x v="1"/>
    <x v="0"/>
    <x v="18"/>
    <x v="11"/>
    <x v="1"/>
    <x v="2"/>
  </r>
  <r>
    <s v="TX500170"/>
    <x v="4"/>
    <x v="1"/>
    <n v="19.899999999999999"/>
    <n v="39.799999999999997"/>
    <x v="6"/>
    <d v="2025-01-10T00:00:00"/>
    <x v="2"/>
    <x v="1"/>
    <x v="0"/>
    <x v="0"/>
    <x v="28"/>
    <x v="2"/>
    <x v="1"/>
    <x v="2"/>
  </r>
  <r>
    <s v="TX500171"/>
    <x v="5"/>
    <x v="0"/>
    <n v="78.3"/>
    <n v="78.3"/>
    <x v="6"/>
    <d v="2025-01-07T00:00:00"/>
    <x v="2"/>
    <x v="0"/>
    <x v="2"/>
    <x v="0"/>
    <x v="1"/>
    <x v="7"/>
    <x v="1"/>
    <x v="2"/>
  </r>
  <r>
    <s v="TX500172"/>
    <x v="0"/>
    <x v="10"/>
    <n v="10.4"/>
    <n v="197.6"/>
    <x v="6"/>
    <d v="2025-01-09T00:00:00"/>
    <x v="1"/>
    <x v="0"/>
    <x v="2"/>
    <x v="0"/>
    <x v="2"/>
    <x v="1"/>
    <x v="1"/>
    <x v="1"/>
  </r>
  <r>
    <s v="TX500173"/>
    <x v="10"/>
    <x v="0"/>
    <n v="36.1"/>
    <n v="36.1"/>
    <x v="6"/>
    <d v="2025-01-10T00:00:00"/>
    <x v="1"/>
    <x v="3"/>
    <x v="2"/>
    <x v="0"/>
    <x v="3"/>
    <x v="2"/>
    <x v="1"/>
    <x v="1"/>
  </r>
  <r>
    <s v="TX500174"/>
    <x v="14"/>
    <x v="1"/>
    <n v="17.3"/>
    <n v="34.6"/>
    <x v="6"/>
    <d v="2025-01-09T00:00:00"/>
    <x v="2"/>
    <x v="1"/>
    <x v="2"/>
    <x v="0"/>
    <x v="3"/>
    <x v="1"/>
    <x v="1"/>
    <x v="2"/>
  </r>
  <r>
    <s v="TX500175"/>
    <x v="10"/>
    <x v="1"/>
    <n v="30.5"/>
    <n v="61"/>
    <x v="6"/>
    <d v="2025-01-08T00:00:00"/>
    <x v="2"/>
    <x v="1"/>
    <x v="2"/>
    <x v="0"/>
    <x v="3"/>
    <x v="3"/>
    <x v="1"/>
    <x v="2"/>
  </r>
  <r>
    <s v="TX500176"/>
    <x v="18"/>
    <x v="22"/>
    <n v="70.099999999999994"/>
    <n v="4346.2"/>
    <x v="6"/>
    <d v="2025-01-07T00:00:00"/>
    <x v="2"/>
    <x v="2"/>
    <x v="0"/>
    <x v="0"/>
    <x v="3"/>
    <x v="7"/>
    <x v="1"/>
    <x v="2"/>
  </r>
  <r>
    <s v="TX500177"/>
    <x v="3"/>
    <x v="0"/>
    <n v="76.099999999999994"/>
    <n v="76.099999999999994"/>
    <x v="6"/>
    <d v="2025-01-07T00:00:00"/>
    <x v="2"/>
    <x v="2"/>
    <x v="1"/>
    <x v="0"/>
    <x v="3"/>
    <x v="7"/>
    <x v="1"/>
    <x v="2"/>
  </r>
  <r>
    <s v="TX500178"/>
    <x v="15"/>
    <x v="15"/>
    <n v="34.200000000000003"/>
    <n v="444.6"/>
    <x v="6"/>
    <d v="2025-01-08T00:00:00"/>
    <x v="1"/>
    <x v="0"/>
    <x v="0"/>
    <x v="0"/>
    <x v="3"/>
    <x v="3"/>
    <x v="1"/>
    <x v="1"/>
  </r>
  <r>
    <s v="TX500179"/>
    <x v="8"/>
    <x v="9"/>
    <n v="30.3"/>
    <n v="151.5"/>
    <x v="6"/>
    <d v="2025-01-12T00:00:00"/>
    <x v="2"/>
    <x v="4"/>
    <x v="0"/>
    <x v="0"/>
    <x v="3"/>
    <x v="0"/>
    <x v="1"/>
    <x v="2"/>
  </r>
  <r>
    <s v="TX500180"/>
    <x v="6"/>
    <x v="9"/>
    <n v="52.5"/>
    <n v="262.5"/>
    <x v="6"/>
    <d v="2025-01-11T00:00:00"/>
    <x v="0"/>
    <x v="3"/>
    <x v="0"/>
    <x v="0"/>
    <x v="3"/>
    <x v="5"/>
    <x v="1"/>
    <x v="0"/>
  </r>
  <r>
    <s v="TX500181"/>
    <x v="9"/>
    <x v="5"/>
    <n v="28.7"/>
    <n v="315.7"/>
    <x v="6"/>
    <d v="2025-01-08T00:00:00"/>
    <x v="2"/>
    <x v="2"/>
    <x v="0"/>
    <x v="0"/>
    <x v="3"/>
    <x v="3"/>
    <x v="1"/>
    <x v="2"/>
  </r>
  <r>
    <s v="TX500182"/>
    <x v="7"/>
    <x v="3"/>
    <n v="52"/>
    <n v="364"/>
    <x v="6"/>
    <d v="2025-01-08T00:00:00"/>
    <x v="1"/>
    <x v="1"/>
    <x v="4"/>
    <x v="0"/>
    <x v="3"/>
    <x v="3"/>
    <x v="1"/>
    <x v="1"/>
  </r>
  <r>
    <s v="TX500183"/>
    <x v="0"/>
    <x v="0"/>
    <n v="13.3"/>
    <n v="13.3"/>
    <x v="7"/>
    <d v="2025-01-12T00:00:00"/>
    <x v="2"/>
    <x v="2"/>
    <x v="1"/>
    <x v="0"/>
    <x v="3"/>
    <x v="5"/>
    <x v="1"/>
    <x v="2"/>
  </r>
  <r>
    <s v="TX500184"/>
    <x v="0"/>
    <x v="2"/>
    <n v="15.7"/>
    <n v="47.099999999999994"/>
    <x v="7"/>
    <d v="2025-01-09T00:00:00"/>
    <x v="2"/>
    <x v="1"/>
    <x v="0"/>
    <x v="0"/>
    <x v="29"/>
    <x v="3"/>
    <x v="1"/>
    <x v="2"/>
  </r>
  <r>
    <s v="TX500185"/>
    <x v="8"/>
    <x v="1"/>
    <n v="25.6"/>
    <n v="51.2"/>
    <x v="7"/>
    <d v="2025-01-09T00:00:00"/>
    <x v="1"/>
    <x v="0"/>
    <x v="2"/>
    <x v="0"/>
    <x v="23"/>
    <x v="3"/>
    <x v="1"/>
    <x v="1"/>
  </r>
  <r>
    <s v="TX500186"/>
    <x v="8"/>
    <x v="0"/>
    <n v="43.4"/>
    <n v="43.4"/>
    <x v="7"/>
    <d v="2025-01-13T00:00:00"/>
    <x v="1"/>
    <x v="0"/>
    <x v="0"/>
    <x v="0"/>
    <x v="6"/>
    <x v="0"/>
    <x v="1"/>
    <x v="1"/>
  </r>
  <r>
    <s v="TX500187"/>
    <x v="11"/>
    <x v="11"/>
    <n v="33.4"/>
    <n v="300.59999999999997"/>
    <x v="7"/>
    <d v="2025-01-08T00:00:00"/>
    <x v="2"/>
    <x v="0"/>
    <x v="0"/>
    <x v="0"/>
    <x v="8"/>
    <x v="7"/>
    <x v="1"/>
    <x v="2"/>
  </r>
  <r>
    <s v="TX500188"/>
    <x v="8"/>
    <x v="10"/>
    <n v="55"/>
    <n v="1045"/>
    <x v="7"/>
    <d v="2025-01-09T00:00:00"/>
    <x v="2"/>
    <x v="1"/>
    <x v="2"/>
    <x v="0"/>
    <x v="8"/>
    <x v="3"/>
    <x v="1"/>
    <x v="2"/>
  </r>
  <r>
    <s v="TX500189"/>
    <x v="8"/>
    <x v="2"/>
    <n v="23.6"/>
    <n v="70.800000000000011"/>
    <x v="7"/>
    <d v="2025-01-09T00:00:00"/>
    <x v="1"/>
    <x v="0"/>
    <x v="2"/>
    <x v="0"/>
    <x v="8"/>
    <x v="3"/>
    <x v="1"/>
    <x v="1"/>
  </r>
  <r>
    <s v="TX500190"/>
    <x v="12"/>
    <x v="11"/>
    <n v="104"/>
    <n v="936"/>
    <x v="7"/>
    <d v="2025-01-10T00:00:00"/>
    <x v="2"/>
    <x v="2"/>
    <x v="2"/>
    <x v="0"/>
    <x v="17"/>
    <x v="1"/>
    <x v="1"/>
    <x v="2"/>
  </r>
  <r>
    <s v="TX500191"/>
    <x v="6"/>
    <x v="1"/>
    <n v="51.8"/>
    <n v="103.6"/>
    <x v="7"/>
    <d v="2025-01-12T00:00:00"/>
    <x v="0"/>
    <x v="0"/>
    <x v="2"/>
    <x v="0"/>
    <x v="10"/>
    <x v="5"/>
    <x v="1"/>
    <x v="0"/>
  </r>
  <r>
    <s v="TX500192"/>
    <x v="10"/>
    <x v="9"/>
    <n v="34.5"/>
    <n v="172.5"/>
    <x v="7"/>
    <d v="2025-01-10T00:00:00"/>
    <x v="0"/>
    <x v="2"/>
    <x v="2"/>
    <x v="0"/>
    <x v="11"/>
    <x v="1"/>
    <x v="1"/>
    <x v="0"/>
  </r>
  <r>
    <s v="TX500193"/>
    <x v="6"/>
    <x v="1"/>
    <n v="51.8"/>
    <n v="103.6"/>
    <x v="7"/>
    <d v="2025-01-10T00:00:00"/>
    <x v="1"/>
    <x v="1"/>
    <x v="2"/>
    <x v="0"/>
    <x v="30"/>
    <x v="1"/>
    <x v="1"/>
    <x v="1"/>
  </r>
  <r>
    <s v="TX500194"/>
    <x v="18"/>
    <x v="23"/>
    <n v="131.5"/>
    <n v="5654.5"/>
    <x v="7"/>
    <d v="2025-01-09T00:00:00"/>
    <x v="2"/>
    <x v="0"/>
    <x v="2"/>
    <x v="0"/>
    <x v="18"/>
    <x v="3"/>
    <x v="1"/>
    <x v="2"/>
  </r>
  <r>
    <s v="TX500195"/>
    <x v="8"/>
    <x v="3"/>
    <n v="47.8"/>
    <n v="334.59999999999997"/>
    <x v="7"/>
    <d v="2025-01-08T00:00:00"/>
    <x v="2"/>
    <x v="0"/>
    <x v="0"/>
    <x v="0"/>
    <x v="19"/>
    <x v="7"/>
    <x v="1"/>
    <x v="2"/>
  </r>
  <r>
    <s v="TX500196"/>
    <x v="0"/>
    <x v="1"/>
    <n v="10.199999999999999"/>
    <n v="20.399999999999999"/>
    <x v="7"/>
    <d v="2025-01-10T00:00:00"/>
    <x v="2"/>
    <x v="0"/>
    <x v="0"/>
    <x v="0"/>
    <x v="19"/>
    <x v="1"/>
    <x v="1"/>
    <x v="2"/>
  </r>
  <r>
    <s v="TX500197"/>
    <x v="8"/>
    <x v="8"/>
    <n v="41"/>
    <n v="328"/>
    <x v="7"/>
    <d v="2025-01-08T00:00:00"/>
    <x v="2"/>
    <x v="1"/>
    <x v="2"/>
    <x v="0"/>
    <x v="19"/>
    <x v="7"/>
    <x v="1"/>
    <x v="2"/>
  </r>
  <r>
    <s v="TX500198"/>
    <x v="10"/>
    <x v="3"/>
    <n v="50.8"/>
    <n v="355.59999999999997"/>
    <x v="7"/>
    <d v="2025-01-11T00:00:00"/>
    <x v="2"/>
    <x v="1"/>
    <x v="0"/>
    <x v="0"/>
    <x v="21"/>
    <x v="2"/>
    <x v="1"/>
    <x v="2"/>
  </r>
  <r>
    <s v="TX500199"/>
    <x v="18"/>
    <x v="2"/>
    <n v="39.6"/>
    <n v="118.80000000000001"/>
    <x v="7"/>
    <d v="2025-01-09T00:00:00"/>
    <x v="1"/>
    <x v="2"/>
    <x v="2"/>
    <x v="0"/>
    <x v="1"/>
    <x v="3"/>
    <x v="1"/>
    <x v="1"/>
  </r>
  <r>
    <s v="TX500200"/>
    <x v="5"/>
    <x v="1"/>
    <n v="69.5"/>
    <n v="139"/>
    <x v="7"/>
    <d v="2025-01-10T00:00:00"/>
    <x v="1"/>
    <x v="0"/>
    <x v="2"/>
    <x v="0"/>
    <x v="2"/>
    <x v="1"/>
    <x v="1"/>
    <x v="1"/>
  </r>
  <r>
    <s v="TX500201"/>
    <x v="8"/>
    <x v="8"/>
    <n v="32.6"/>
    <n v="260.8"/>
    <x v="7"/>
    <d v="2025-01-11T00:00:00"/>
    <x v="1"/>
    <x v="1"/>
    <x v="0"/>
    <x v="0"/>
    <x v="3"/>
    <x v="2"/>
    <x v="1"/>
    <x v="1"/>
  </r>
  <r>
    <s v="TX500202"/>
    <x v="7"/>
    <x v="1"/>
    <n v="49.1"/>
    <n v="98.2"/>
    <x v="7"/>
    <d v="2025-01-16T00:00:00"/>
    <x v="1"/>
    <x v="3"/>
    <x v="2"/>
    <x v="0"/>
    <x v="3"/>
    <x v="9"/>
    <x v="1"/>
    <x v="1"/>
  </r>
  <r>
    <s v="TX500203"/>
    <x v="6"/>
    <x v="1"/>
    <n v="49.4"/>
    <n v="98.8"/>
    <x v="8"/>
    <d v="2025-01-10T00:00:00"/>
    <x v="2"/>
    <x v="2"/>
    <x v="0"/>
    <x v="0"/>
    <x v="3"/>
    <x v="3"/>
    <x v="1"/>
    <x v="2"/>
  </r>
  <r>
    <s v="TX500204"/>
    <x v="7"/>
    <x v="3"/>
    <n v="65.099999999999994"/>
    <n v="455.69999999999993"/>
    <x v="8"/>
    <d v="2025-01-12T00:00:00"/>
    <x v="2"/>
    <x v="2"/>
    <x v="2"/>
    <x v="0"/>
    <x v="3"/>
    <x v="2"/>
    <x v="1"/>
    <x v="2"/>
  </r>
  <r>
    <s v="TX500205"/>
    <x v="3"/>
    <x v="1"/>
    <n v="52.1"/>
    <n v="104.2"/>
    <x v="8"/>
    <d v="2025-01-13T00:00:00"/>
    <x v="2"/>
    <x v="2"/>
    <x v="0"/>
    <x v="0"/>
    <x v="3"/>
    <x v="5"/>
    <x v="1"/>
    <x v="2"/>
  </r>
  <r>
    <s v="TX500206"/>
    <x v="2"/>
    <x v="12"/>
    <n v="129.19999999999999"/>
    <n v="516.79999999999995"/>
    <x v="8"/>
    <d v="2025-01-10T00:00:00"/>
    <x v="2"/>
    <x v="1"/>
    <x v="0"/>
    <x v="0"/>
    <x v="3"/>
    <x v="3"/>
    <x v="1"/>
    <x v="2"/>
  </r>
  <r>
    <s v="TX500207"/>
    <x v="1"/>
    <x v="10"/>
    <n v="81.8"/>
    <n v="1554.2"/>
    <x v="8"/>
    <d v="2025-01-09T00:00:00"/>
    <x v="2"/>
    <x v="1"/>
    <x v="1"/>
    <x v="0"/>
    <x v="3"/>
    <x v="7"/>
    <x v="1"/>
    <x v="2"/>
  </r>
  <r>
    <s v="TX500208"/>
    <x v="17"/>
    <x v="0"/>
    <n v="24.9"/>
    <n v="24.9"/>
    <x v="8"/>
    <d v="2025-01-13T00:00:00"/>
    <x v="2"/>
    <x v="1"/>
    <x v="0"/>
    <x v="0"/>
    <x v="3"/>
    <x v="5"/>
    <x v="1"/>
    <x v="2"/>
  </r>
  <r>
    <s v="TX500209"/>
    <x v="0"/>
    <x v="2"/>
    <n v="49.4"/>
    <n v="148.19999999999999"/>
    <x v="8"/>
    <d v="2025-01-12T00:00:00"/>
    <x v="2"/>
    <x v="4"/>
    <x v="4"/>
    <x v="0"/>
    <x v="3"/>
    <x v="2"/>
    <x v="1"/>
    <x v="2"/>
  </r>
  <r>
    <s v="TX500210"/>
    <x v="8"/>
    <x v="1"/>
    <n v="22.7"/>
    <n v="45.4"/>
    <x v="8"/>
    <d v="2025-01-10T00:00:00"/>
    <x v="1"/>
    <x v="3"/>
    <x v="2"/>
    <x v="0"/>
    <x v="3"/>
    <x v="3"/>
    <x v="1"/>
    <x v="1"/>
  </r>
  <r>
    <s v="TX500211"/>
    <x v="1"/>
    <x v="0"/>
    <n v="77.3"/>
    <n v="77.3"/>
    <x v="8"/>
    <d v="2025-01-09T00:00:00"/>
    <x v="2"/>
    <x v="0"/>
    <x v="2"/>
    <x v="0"/>
    <x v="6"/>
    <x v="7"/>
    <x v="1"/>
    <x v="2"/>
  </r>
  <r>
    <s v="TX500212"/>
    <x v="1"/>
    <x v="9"/>
    <n v="109.1"/>
    <n v="545.5"/>
    <x v="8"/>
    <d v="2025-01-12T00:00:00"/>
    <x v="2"/>
    <x v="0"/>
    <x v="0"/>
    <x v="0"/>
    <x v="6"/>
    <x v="2"/>
    <x v="1"/>
    <x v="2"/>
  </r>
  <r>
    <s v="TX500213"/>
    <x v="2"/>
    <x v="12"/>
    <n v="53.9"/>
    <n v="215.6"/>
    <x v="8"/>
    <d v="2025-01-10T00:00:00"/>
    <x v="1"/>
    <x v="0"/>
    <x v="1"/>
    <x v="0"/>
    <x v="8"/>
    <x v="3"/>
    <x v="1"/>
    <x v="1"/>
  </r>
  <r>
    <s v="TX500214"/>
    <x v="9"/>
    <x v="18"/>
    <n v="21.2"/>
    <n v="551.19999999999993"/>
    <x v="8"/>
    <d v="2025-01-09T00:00:00"/>
    <x v="2"/>
    <x v="0"/>
    <x v="0"/>
    <x v="0"/>
    <x v="9"/>
    <x v="7"/>
    <x v="1"/>
    <x v="2"/>
  </r>
  <r>
    <s v="TX500215"/>
    <x v="16"/>
    <x v="12"/>
    <n v="69"/>
    <n v="276"/>
    <x v="8"/>
    <d v="2025-01-11T00:00:00"/>
    <x v="2"/>
    <x v="1"/>
    <x v="1"/>
    <x v="0"/>
    <x v="18"/>
    <x v="1"/>
    <x v="1"/>
    <x v="2"/>
  </r>
  <r>
    <s v="TX500216"/>
    <x v="6"/>
    <x v="2"/>
    <n v="46.2"/>
    <n v="138.60000000000002"/>
    <x v="8"/>
    <d v="2025-01-11T00:00:00"/>
    <x v="2"/>
    <x v="0"/>
    <x v="2"/>
    <x v="0"/>
    <x v="31"/>
    <x v="1"/>
    <x v="1"/>
    <x v="2"/>
  </r>
  <r>
    <s v="TX500217"/>
    <x v="1"/>
    <x v="9"/>
    <n v="97.4"/>
    <n v="487"/>
    <x v="8"/>
    <d v="2025-01-13T00:00:00"/>
    <x v="2"/>
    <x v="4"/>
    <x v="2"/>
    <x v="0"/>
    <x v="21"/>
    <x v="5"/>
    <x v="1"/>
    <x v="2"/>
  </r>
  <r>
    <s v="TX500218"/>
    <x v="8"/>
    <x v="9"/>
    <n v="21"/>
    <n v="105"/>
    <x v="8"/>
    <d v="2025-01-10T00:00:00"/>
    <x v="1"/>
    <x v="0"/>
    <x v="1"/>
    <x v="0"/>
    <x v="21"/>
    <x v="3"/>
    <x v="1"/>
    <x v="1"/>
  </r>
  <r>
    <s v="TX500219"/>
    <x v="5"/>
    <x v="1"/>
    <n v="32.700000000000003"/>
    <n v="65.400000000000006"/>
    <x v="9"/>
    <d v="2025-01-13T00:00:00"/>
    <x v="2"/>
    <x v="1"/>
    <x v="0"/>
    <x v="0"/>
    <x v="2"/>
    <x v="2"/>
    <x v="1"/>
    <x v="2"/>
  </r>
  <r>
    <s v="TX500220"/>
    <x v="6"/>
    <x v="12"/>
    <n v="48"/>
    <n v="192"/>
    <x v="9"/>
    <d v="2025-01-11T00:00:00"/>
    <x v="1"/>
    <x v="3"/>
    <x v="0"/>
    <x v="0"/>
    <x v="3"/>
    <x v="3"/>
    <x v="1"/>
    <x v="1"/>
  </r>
  <r>
    <s v="TX500221"/>
    <x v="6"/>
    <x v="2"/>
    <n v="68.2"/>
    <n v="204.60000000000002"/>
    <x v="9"/>
    <d v="2025-01-14T00:00:00"/>
    <x v="0"/>
    <x v="0"/>
    <x v="2"/>
    <x v="0"/>
    <x v="3"/>
    <x v="5"/>
    <x v="1"/>
    <x v="0"/>
  </r>
  <r>
    <s v="TX500222"/>
    <x v="5"/>
    <x v="0"/>
    <n v="45.4"/>
    <n v="45.4"/>
    <x v="9"/>
    <d v="2025-01-12T00:00:00"/>
    <x v="1"/>
    <x v="1"/>
    <x v="0"/>
    <x v="0"/>
    <x v="3"/>
    <x v="1"/>
    <x v="1"/>
    <x v="1"/>
  </r>
  <r>
    <s v="TX500223"/>
    <x v="12"/>
    <x v="1"/>
    <n v="53.9"/>
    <n v="107.8"/>
    <x v="9"/>
    <d v="2025-01-11T00:00:00"/>
    <x v="2"/>
    <x v="2"/>
    <x v="0"/>
    <x v="0"/>
    <x v="3"/>
    <x v="3"/>
    <x v="1"/>
    <x v="2"/>
  </r>
  <r>
    <s v="TX500224"/>
    <x v="2"/>
    <x v="12"/>
    <n v="62.1"/>
    <n v="248.4"/>
    <x v="9"/>
    <d v="2025-01-14T00:00:00"/>
    <x v="2"/>
    <x v="0"/>
    <x v="0"/>
    <x v="0"/>
    <x v="4"/>
    <x v="5"/>
    <x v="1"/>
    <x v="2"/>
  </r>
  <r>
    <s v="TX500225"/>
    <x v="13"/>
    <x v="3"/>
    <n v="33.1"/>
    <n v="231.70000000000002"/>
    <x v="9"/>
    <d v="2025-01-15T00:00:00"/>
    <x v="1"/>
    <x v="1"/>
    <x v="0"/>
    <x v="0"/>
    <x v="6"/>
    <x v="0"/>
    <x v="1"/>
    <x v="1"/>
  </r>
  <r>
    <s v="TX500226"/>
    <x v="18"/>
    <x v="9"/>
    <n v="35.200000000000003"/>
    <n v="176"/>
    <x v="9"/>
    <d v="2025-01-10T00:00:00"/>
    <x v="2"/>
    <x v="1"/>
    <x v="0"/>
    <x v="0"/>
    <x v="6"/>
    <x v="7"/>
    <x v="1"/>
    <x v="2"/>
  </r>
  <r>
    <s v="TX500227"/>
    <x v="9"/>
    <x v="2"/>
    <n v="32.1"/>
    <n v="96.300000000000011"/>
    <x v="9"/>
    <d v="2025-01-15T00:00:00"/>
    <x v="1"/>
    <x v="3"/>
    <x v="0"/>
    <x v="0"/>
    <x v="8"/>
    <x v="0"/>
    <x v="1"/>
    <x v="1"/>
  </r>
  <r>
    <s v="TX500228"/>
    <x v="11"/>
    <x v="0"/>
    <n v="38.1"/>
    <n v="38.1"/>
    <x v="9"/>
    <d v="2025-01-15T00:00:00"/>
    <x v="2"/>
    <x v="0"/>
    <x v="2"/>
    <x v="0"/>
    <x v="8"/>
    <x v="0"/>
    <x v="1"/>
    <x v="2"/>
  </r>
  <r>
    <s v="TX500229"/>
    <x v="8"/>
    <x v="0"/>
    <n v="65.2"/>
    <n v="65.2"/>
    <x v="9"/>
    <d v="2025-01-15T00:00:00"/>
    <x v="2"/>
    <x v="3"/>
    <x v="1"/>
    <x v="0"/>
    <x v="8"/>
    <x v="0"/>
    <x v="1"/>
    <x v="2"/>
  </r>
  <r>
    <s v="TX500230"/>
    <x v="10"/>
    <x v="3"/>
    <n v="55.2"/>
    <n v="386.40000000000003"/>
    <x v="9"/>
    <d v="2025-01-11T00:00:00"/>
    <x v="1"/>
    <x v="2"/>
    <x v="0"/>
    <x v="0"/>
    <x v="11"/>
    <x v="3"/>
    <x v="1"/>
    <x v="1"/>
  </r>
  <r>
    <s v="TX500231"/>
    <x v="6"/>
    <x v="0"/>
    <n v="62"/>
    <n v="62"/>
    <x v="9"/>
    <d v="2025-01-14T00:00:00"/>
    <x v="2"/>
    <x v="0"/>
    <x v="0"/>
    <x v="0"/>
    <x v="11"/>
    <x v="5"/>
    <x v="1"/>
    <x v="2"/>
  </r>
  <r>
    <s v="TX500232"/>
    <x v="7"/>
    <x v="2"/>
    <n v="45.9"/>
    <n v="137.69999999999999"/>
    <x v="9"/>
    <d v="2025-01-11T00:00:00"/>
    <x v="2"/>
    <x v="2"/>
    <x v="0"/>
    <x v="0"/>
    <x v="32"/>
    <x v="3"/>
    <x v="1"/>
    <x v="2"/>
  </r>
  <r>
    <s v="TX500233"/>
    <x v="18"/>
    <x v="2"/>
    <n v="58.3"/>
    <n v="174.89999999999998"/>
    <x v="9"/>
    <d v="2025-01-10T00:00:00"/>
    <x v="1"/>
    <x v="1"/>
    <x v="1"/>
    <x v="0"/>
    <x v="18"/>
    <x v="7"/>
    <x v="1"/>
    <x v="1"/>
  </r>
  <r>
    <s v="TX500234"/>
    <x v="8"/>
    <x v="1"/>
    <n v="22.3"/>
    <n v="44.6"/>
    <x v="9"/>
    <d v="2025-01-13T00:00:00"/>
    <x v="2"/>
    <x v="0"/>
    <x v="2"/>
    <x v="0"/>
    <x v="20"/>
    <x v="2"/>
    <x v="1"/>
    <x v="2"/>
  </r>
  <r>
    <s v="TX500235"/>
    <x v="19"/>
    <x v="9"/>
    <n v="24"/>
    <n v="120"/>
    <x v="9"/>
    <d v="2025-01-11T00:00:00"/>
    <x v="1"/>
    <x v="4"/>
    <x v="0"/>
    <x v="0"/>
    <x v="1"/>
    <x v="3"/>
    <x v="1"/>
    <x v="1"/>
  </r>
  <r>
    <s v="TX500236"/>
    <x v="0"/>
    <x v="7"/>
    <n v="21.3"/>
    <n v="213"/>
    <x v="9"/>
    <d v="2025-01-10T00:00:00"/>
    <x v="2"/>
    <x v="1"/>
    <x v="2"/>
    <x v="0"/>
    <x v="22"/>
    <x v="7"/>
    <x v="1"/>
    <x v="2"/>
  </r>
  <r>
    <s v="TX500237"/>
    <x v="6"/>
    <x v="24"/>
    <n v="57.8"/>
    <n v="2369.7999999999997"/>
    <x v="9"/>
    <d v="2025-01-12T00:00:00"/>
    <x v="2"/>
    <x v="0"/>
    <x v="2"/>
    <x v="0"/>
    <x v="3"/>
    <x v="1"/>
    <x v="1"/>
    <x v="2"/>
  </r>
  <r>
    <s v="TX500238"/>
    <x v="10"/>
    <x v="2"/>
    <n v="67.599999999999994"/>
    <n v="202.79999999999998"/>
    <x v="9"/>
    <d v="2025-01-11T00:00:00"/>
    <x v="2"/>
    <x v="0"/>
    <x v="0"/>
    <x v="0"/>
    <x v="3"/>
    <x v="3"/>
    <x v="1"/>
    <x v="2"/>
  </r>
  <r>
    <s v="TX500239"/>
    <x v="6"/>
    <x v="13"/>
    <n v="66.7"/>
    <n v="400.20000000000005"/>
    <x v="9"/>
    <d v="2025-01-14T00:00:00"/>
    <x v="1"/>
    <x v="4"/>
    <x v="1"/>
    <x v="0"/>
    <x v="3"/>
    <x v="5"/>
    <x v="1"/>
    <x v="1"/>
  </r>
  <r>
    <s v="TX500240"/>
    <x v="1"/>
    <x v="12"/>
    <n v="53.1"/>
    <n v="212.4"/>
    <x v="9"/>
    <d v="2025-01-12T00:00:00"/>
    <x v="2"/>
    <x v="1"/>
    <x v="0"/>
    <x v="0"/>
    <x v="3"/>
    <x v="1"/>
    <x v="1"/>
    <x v="2"/>
  </r>
  <r>
    <s v="TX500241"/>
    <x v="12"/>
    <x v="2"/>
    <n v="57.4"/>
    <n v="172.2"/>
    <x v="9"/>
    <d v="2025-01-13T00:00:00"/>
    <x v="2"/>
    <x v="0"/>
    <x v="2"/>
    <x v="0"/>
    <x v="29"/>
    <x v="2"/>
    <x v="1"/>
    <x v="2"/>
  </r>
  <r>
    <s v="TX500242"/>
    <x v="2"/>
    <x v="9"/>
    <n v="58.1"/>
    <n v="290.5"/>
    <x v="9"/>
    <d v="2025-01-10T00:00:00"/>
    <x v="1"/>
    <x v="2"/>
    <x v="2"/>
    <x v="0"/>
    <x v="6"/>
    <x v="7"/>
    <x v="1"/>
    <x v="1"/>
  </r>
  <r>
    <s v="TX500243"/>
    <x v="5"/>
    <x v="2"/>
    <n v="31.8"/>
    <n v="95.4"/>
    <x v="10"/>
    <d v="2025-01-13T00:00:00"/>
    <x v="1"/>
    <x v="3"/>
    <x v="0"/>
    <x v="0"/>
    <x v="6"/>
    <x v="1"/>
    <x v="1"/>
    <x v="1"/>
  </r>
  <r>
    <s v="TX500244"/>
    <x v="4"/>
    <x v="2"/>
    <n v="31.5"/>
    <n v="94.5"/>
    <x v="10"/>
    <d v="2025-01-14T00:00:00"/>
    <x v="1"/>
    <x v="0"/>
    <x v="1"/>
    <x v="0"/>
    <x v="8"/>
    <x v="2"/>
    <x v="1"/>
    <x v="1"/>
  </r>
  <r>
    <s v="TX500245"/>
    <x v="6"/>
    <x v="3"/>
    <n v="55.9"/>
    <n v="391.3"/>
    <x v="10"/>
    <d v="2025-01-15T00:00:00"/>
    <x v="2"/>
    <x v="1"/>
    <x v="2"/>
    <x v="0"/>
    <x v="8"/>
    <x v="5"/>
    <x v="1"/>
    <x v="2"/>
  </r>
  <r>
    <s v="TX500246"/>
    <x v="8"/>
    <x v="1"/>
    <n v="36.4"/>
    <n v="72.8"/>
    <x v="10"/>
    <d v="2025-01-12T00:00:00"/>
    <x v="1"/>
    <x v="1"/>
    <x v="1"/>
    <x v="0"/>
    <x v="9"/>
    <x v="3"/>
    <x v="1"/>
    <x v="1"/>
  </r>
  <r>
    <s v="TX500247"/>
    <x v="1"/>
    <x v="9"/>
    <n v="47.3"/>
    <n v="236.5"/>
    <x v="10"/>
    <d v="2025-01-14T00:00:00"/>
    <x v="1"/>
    <x v="2"/>
    <x v="0"/>
    <x v="0"/>
    <x v="10"/>
    <x v="2"/>
    <x v="1"/>
    <x v="1"/>
  </r>
  <r>
    <s v="TX500248"/>
    <x v="6"/>
    <x v="2"/>
    <n v="82.5"/>
    <n v="247.5"/>
    <x v="10"/>
    <d v="2025-01-12T00:00:00"/>
    <x v="1"/>
    <x v="0"/>
    <x v="0"/>
    <x v="0"/>
    <x v="11"/>
    <x v="3"/>
    <x v="1"/>
    <x v="1"/>
  </r>
  <r>
    <s v="TX500249"/>
    <x v="0"/>
    <x v="0"/>
    <n v="14.3"/>
    <n v="14.3"/>
    <x v="10"/>
    <d v="2025-01-12T00:00:00"/>
    <x v="2"/>
    <x v="0"/>
    <x v="0"/>
    <x v="0"/>
    <x v="21"/>
    <x v="3"/>
    <x v="1"/>
    <x v="2"/>
  </r>
  <r>
    <s v="TX500250"/>
    <x v="2"/>
    <x v="13"/>
    <n v="57.6"/>
    <n v="345.6"/>
    <x v="10"/>
    <d v="2025-01-25T00:00:00"/>
    <x v="2"/>
    <x v="0"/>
    <x v="0"/>
    <x v="0"/>
    <x v="21"/>
    <x v="12"/>
    <x v="1"/>
    <x v="2"/>
  </r>
  <r>
    <s v="TX500251"/>
    <x v="2"/>
    <x v="2"/>
    <n v="142.4"/>
    <n v="427.20000000000005"/>
    <x v="10"/>
    <d v="2025-01-13T00:00:00"/>
    <x v="1"/>
    <x v="4"/>
    <x v="1"/>
    <x v="0"/>
    <x v="21"/>
    <x v="1"/>
    <x v="1"/>
    <x v="1"/>
  </r>
  <r>
    <s v="TX500252"/>
    <x v="12"/>
    <x v="0"/>
    <n v="30.2"/>
    <n v="30.2"/>
    <x v="10"/>
    <d v="2025-01-15T00:00:00"/>
    <x v="1"/>
    <x v="1"/>
    <x v="2"/>
    <x v="0"/>
    <x v="2"/>
    <x v="5"/>
    <x v="1"/>
    <x v="1"/>
  </r>
  <r>
    <s v="TX500253"/>
    <x v="18"/>
    <x v="2"/>
    <n v="65.3"/>
    <n v="195.89999999999998"/>
    <x v="10"/>
    <d v="2025-01-12T00:00:00"/>
    <x v="3"/>
    <x v="1"/>
    <x v="0"/>
    <x v="0"/>
    <x v="33"/>
    <x v="3"/>
    <x v="1"/>
    <x v="3"/>
  </r>
  <r>
    <s v="TX500254"/>
    <x v="0"/>
    <x v="1"/>
    <n v="33.4"/>
    <n v="66.8"/>
    <x v="10"/>
    <d v="2025-01-12T00:00:00"/>
    <x v="1"/>
    <x v="1"/>
    <x v="1"/>
    <x v="0"/>
    <x v="22"/>
    <x v="3"/>
    <x v="1"/>
    <x v="1"/>
  </r>
  <r>
    <s v="TX500255"/>
    <x v="7"/>
    <x v="1"/>
    <n v="45.1"/>
    <n v="90.2"/>
    <x v="10"/>
    <d v="2025-01-19T00:00:00"/>
    <x v="1"/>
    <x v="0"/>
    <x v="0"/>
    <x v="0"/>
    <x v="34"/>
    <x v="9"/>
    <x v="1"/>
    <x v="1"/>
  </r>
  <r>
    <s v="TX500256"/>
    <x v="2"/>
    <x v="3"/>
    <n v="61.7"/>
    <n v="431.90000000000003"/>
    <x v="10"/>
    <d v="2025-01-13T00:00:00"/>
    <x v="2"/>
    <x v="4"/>
    <x v="0"/>
    <x v="0"/>
    <x v="3"/>
    <x v="1"/>
    <x v="1"/>
    <x v="2"/>
  </r>
  <r>
    <s v="TX500257"/>
    <x v="9"/>
    <x v="2"/>
    <n v="45.1"/>
    <n v="135.30000000000001"/>
    <x v="11"/>
    <d v="2025-01-13T00:00:00"/>
    <x v="1"/>
    <x v="4"/>
    <x v="1"/>
    <x v="0"/>
    <x v="3"/>
    <x v="3"/>
    <x v="2"/>
    <x v="1"/>
  </r>
  <r>
    <s v="TX500258"/>
    <x v="15"/>
    <x v="9"/>
    <n v="22.7"/>
    <n v="113.5"/>
    <x v="11"/>
    <d v="2025-01-17T00:00:00"/>
    <x v="1"/>
    <x v="0"/>
    <x v="2"/>
    <x v="0"/>
    <x v="35"/>
    <x v="0"/>
    <x v="2"/>
    <x v="1"/>
  </r>
  <r>
    <s v="TX500259"/>
    <x v="8"/>
    <x v="0"/>
    <n v="17.600000000000001"/>
    <n v="17.600000000000001"/>
    <x v="11"/>
    <d v="2025-01-13T00:00:00"/>
    <x v="2"/>
    <x v="0"/>
    <x v="2"/>
    <x v="0"/>
    <x v="23"/>
    <x v="3"/>
    <x v="2"/>
    <x v="2"/>
  </r>
  <r>
    <s v="TX500260"/>
    <x v="14"/>
    <x v="1"/>
    <n v="11.3"/>
    <n v="22.6"/>
    <x v="11"/>
    <d v="2025-01-15T00:00:00"/>
    <x v="2"/>
    <x v="3"/>
    <x v="2"/>
    <x v="0"/>
    <x v="23"/>
    <x v="2"/>
    <x v="2"/>
    <x v="2"/>
  </r>
  <r>
    <s v="TX500261"/>
    <x v="6"/>
    <x v="2"/>
    <n v="53.4"/>
    <n v="160.19999999999999"/>
    <x v="11"/>
    <d v="2025-01-15T00:00:00"/>
    <x v="1"/>
    <x v="3"/>
    <x v="2"/>
    <x v="0"/>
    <x v="36"/>
    <x v="2"/>
    <x v="2"/>
    <x v="1"/>
  </r>
  <r>
    <s v="TX500262"/>
    <x v="6"/>
    <x v="5"/>
    <n v="51.1"/>
    <n v="562.1"/>
    <x v="11"/>
    <d v="2025-01-14T00:00:00"/>
    <x v="2"/>
    <x v="2"/>
    <x v="2"/>
    <x v="0"/>
    <x v="8"/>
    <x v="1"/>
    <x v="2"/>
    <x v="2"/>
  </r>
  <r>
    <s v="TX500263"/>
    <x v="8"/>
    <x v="1"/>
    <n v="27.5"/>
    <n v="55"/>
    <x v="11"/>
    <d v="2025-01-13T00:00:00"/>
    <x v="1"/>
    <x v="4"/>
    <x v="1"/>
    <x v="0"/>
    <x v="8"/>
    <x v="3"/>
    <x v="2"/>
    <x v="1"/>
  </r>
  <r>
    <s v="TX500264"/>
    <x v="9"/>
    <x v="0"/>
    <n v="33.5"/>
    <n v="33.5"/>
    <x v="11"/>
    <d v="2025-01-14T00:00:00"/>
    <x v="2"/>
    <x v="0"/>
    <x v="4"/>
    <x v="0"/>
    <x v="8"/>
    <x v="1"/>
    <x v="2"/>
    <x v="2"/>
  </r>
  <r>
    <s v="TX500265"/>
    <x v="4"/>
    <x v="0"/>
    <n v="59.5"/>
    <n v="59.5"/>
    <x v="11"/>
    <d v="2025-01-12T00:00:00"/>
    <x v="1"/>
    <x v="0"/>
    <x v="2"/>
    <x v="0"/>
    <x v="18"/>
    <x v="7"/>
    <x v="2"/>
    <x v="1"/>
  </r>
  <r>
    <s v="TX500266"/>
    <x v="17"/>
    <x v="12"/>
    <n v="23.5"/>
    <n v="94"/>
    <x v="11"/>
    <d v="2025-01-13T00:00:00"/>
    <x v="2"/>
    <x v="3"/>
    <x v="3"/>
    <x v="0"/>
    <x v="19"/>
    <x v="3"/>
    <x v="2"/>
    <x v="2"/>
  </r>
  <r>
    <s v="TX500267"/>
    <x v="6"/>
    <x v="0"/>
    <n v="49.7"/>
    <n v="49.7"/>
    <x v="11"/>
    <d v="2025-01-13T00:00:00"/>
    <x v="0"/>
    <x v="1"/>
    <x v="2"/>
    <x v="0"/>
    <x v="20"/>
    <x v="3"/>
    <x v="2"/>
    <x v="0"/>
  </r>
  <r>
    <s v="TX500268"/>
    <x v="6"/>
    <x v="12"/>
    <n v="44.2"/>
    <n v="176.8"/>
    <x v="11"/>
    <d v="2025-01-15T00:00:00"/>
    <x v="2"/>
    <x v="0"/>
    <x v="2"/>
    <x v="0"/>
    <x v="21"/>
    <x v="2"/>
    <x v="2"/>
    <x v="2"/>
  </r>
  <r>
    <s v="TX500269"/>
    <x v="8"/>
    <x v="0"/>
    <n v="22.1"/>
    <n v="22.1"/>
    <x v="11"/>
    <d v="2025-01-16T00:00:00"/>
    <x v="2"/>
    <x v="1"/>
    <x v="1"/>
    <x v="0"/>
    <x v="33"/>
    <x v="5"/>
    <x v="2"/>
    <x v="2"/>
  </r>
  <r>
    <s v="TX500270"/>
    <x v="6"/>
    <x v="2"/>
    <n v="90.9"/>
    <n v="272.70000000000005"/>
    <x v="11"/>
    <d v="2025-01-13T00:00:00"/>
    <x v="2"/>
    <x v="2"/>
    <x v="4"/>
    <x v="0"/>
    <x v="3"/>
    <x v="3"/>
    <x v="2"/>
    <x v="2"/>
  </r>
  <r>
    <s v="TX500271"/>
    <x v="8"/>
    <x v="2"/>
    <n v="44.5"/>
    <n v="133.5"/>
    <x v="11"/>
    <d v="2025-01-13T00:00:00"/>
    <x v="2"/>
    <x v="1"/>
    <x v="0"/>
    <x v="0"/>
    <x v="3"/>
    <x v="3"/>
    <x v="2"/>
    <x v="2"/>
  </r>
  <r>
    <s v="TX500272"/>
    <x v="9"/>
    <x v="13"/>
    <n v="32.299999999999997"/>
    <n v="193.79999999999998"/>
    <x v="11"/>
    <d v="2025-01-16T00:00:00"/>
    <x v="2"/>
    <x v="0"/>
    <x v="0"/>
    <x v="0"/>
    <x v="3"/>
    <x v="5"/>
    <x v="2"/>
    <x v="2"/>
  </r>
  <r>
    <s v="TX500273"/>
    <x v="17"/>
    <x v="2"/>
    <n v="87.5"/>
    <n v="262.5"/>
    <x v="11"/>
    <d v="2025-01-13T00:00:00"/>
    <x v="2"/>
    <x v="1"/>
    <x v="1"/>
    <x v="0"/>
    <x v="3"/>
    <x v="3"/>
    <x v="2"/>
    <x v="2"/>
  </r>
  <r>
    <s v="TX500274"/>
    <x v="16"/>
    <x v="9"/>
    <n v="48.7"/>
    <n v="243.5"/>
    <x v="11"/>
    <d v="2025-01-13T00:00:00"/>
    <x v="1"/>
    <x v="2"/>
    <x v="0"/>
    <x v="0"/>
    <x v="3"/>
    <x v="3"/>
    <x v="2"/>
    <x v="1"/>
  </r>
  <r>
    <s v="TX500275"/>
    <x v="0"/>
    <x v="9"/>
    <n v="22.5"/>
    <n v="112.5"/>
    <x v="11"/>
    <d v="2025-01-13T00:00:00"/>
    <x v="1"/>
    <x v="0"/>
    <x v="0"/>
    <x v="0"/>
    <x v="3"/>
    <x v="3"/>
    <x v="2"/>
    <x v="1"/>
  </r>
  <r>
    <s v="TX500276"/>
    <x v="1"/>
    <x v="8"/>
    <n v="65.900000000000006"/>
    <n v="527.20000000000005"/>
    <x v="11"/>
    <d v="2025-01-15T00:00:00"/>
    <x v="2"/>
    <x v="1"/>
    <x v="2"/>
    <x v="0"/>
    <x v="3"/>
    <x v="2"/>
    <x v="2"/>
    <x v="2"/>
  </r>
  <r>
    <s v="TX500277"/>
    <x v="6"/>
    <x v="9"/>
    <n v="41.9"/>
    <n v="209.5"/>
    <x v="11"/>
    <d v="2025-01-19T00:00:00"/>
    <x v="0"/>
    <x v="0"/>
    <x v="0"/>
    <x v="0"/>
    <x v="3"/>
    <x v="6"/>
    <x v="2"/>
    <x v="0"/>
  </r>
  <r>
    <s v="TX500278"/>
    <x v="1"/>
    <x v="9"/>
    <n v="67.5"/>
    <n v="337.5"/>
    <x v="11"/>
    <d v="2025-01-13T00:00:00"/>
    <x v="2"/>
    <x v="0"/>
    <x v="2"/>
    <x v="0"/>
    <x v="3"/>
    <x v="3"/>
    <x v="2"/>
    <x v="2"/>
  </r>
  <r>
    <s v="TX500279"/>
    <x v="9"/>
    <x v="0"/>
    <n v="60.4"/>
    <n v="60.4"/>
    <x v="12"/>
    <d v="2025-01-15T00:00:00"/>
    <x v="2"/>
    <x v="1"/>
    <x v="1"/>
    <x v="0"/>
    <x v="3"/>
    <x v="1"/>
    <x v="2"/>
    <x v="2"/>
  </r>
  <r>
    <s v="TX500280"/>
    <x v="1"/>
    <x v="3"/>
    <n v="30.4"/>
    <n v="212.79999999999998"/>
    <x v="12"/>
    <d v="2025-01-16T00:00:00"/>
    <x v="2"/>
    <x v="4"/>
    <x v="0"/>
    <x v="0"/>
    <x v="3"/>
    <x v="2"/>
    <x v="2"/>
    <x v="2"/>
  </r>
  <r>
    <s v="TX500281"/>
    <x v="14"/>
    <x v="1"/>
    <n v="24.5"/>
    <n v="49"/>
    <x v="12"/>
    <d v="2025-01-14T00:00:00"/>
    <x v="1"/>
    <x v="3"/>
    <x v="2"/>
    <x v="0"/>
    <x v="3"/>
    <x v="3"/>
    <x v="2"/>
    <x v="1"/>
  </r>
  <r>
    <s v="TX500282"/>
    <x v="2"/>
    <x v="2"/>
    <n v="105.9"/>
    <n v="317.70000000000005"/>
    <x v="12"/>
    <d v="2025-01-18T00:00:00"/>
    <x v="1"/>
    <x v="0"/>
    <x v="0"/>
    <x v="0"/>
    <x v="37"/>
    <x v="0"/>
    <x v="2"/>
    <x v="1"/>
  </r>
  <r>
    <s v="TX500283"/>
    <x v="10"/>
    <x v="25"/>
    <n v="25.9"/>
    <n v="621.59999999999991"/>
    <x v="12"/>
    <d v="2025-01-14T00:00:00"/>
    <x v="2"/>
    <x v="4"/>
    <x v="0"/>
    <x v="0"/>
    <x v="23"/>
    <x v="3"/>
    <x v="2"/>
    <x v="2"/>
  </r>
  <r>
    <s v="TX500284"/>
    <x v="6"/>
    <x v="2"/>
    <n v="66.8"/>
    <n v="200.39999999999998"/>
    <x v="12"/>
    <d v="2025-01-13T00:00:00"/>
    <x v="1"/>
    <x v="0"/>
    <x v="0"/>
    <x v="0"/>
    <x v="23"/>
    <x v="7"/>
    <x v="2"/>
    <x v="1"/>
  </r>
  <r>
    <s v="TX500285"/>
    <x v="6"/>
    <x v="2"/>
    <n v="112.3"/>
    <n v="336.9"/>
    <x v="12"/>
    <d v="2025-01-14T00:00:00"/>
    <x v="1"/>
    <x v="2"/>
    <x v="4"/>
    <x v="0"/>
    <x v="6"/>
    <x v="3"/>
    <x v="2"/>
    <x v="1"/>
  </r>
  <r>
    <s v="TX500286"/>
    <x v="1"/>
    <x v="13"/>
    <n v="94.1"/>
    <n v="564.59999999999991"/>
    <x v="12"/>
    <d v="2025-01-14T00:00:00"/>
    <x v="2"/>
    <x v="0"/>
    <x v="4"/>
    <x v="0"/>
    <x v="6"/>
    <x v="3"/>
    <x v="2"/>
    <x v="2"/>
  </r>
  <r>
    <s v="TX500287"/>
    <x v="5"/>
    <x v="0"/>
    <n v="40.700000000000003"/>
    <n v="40.700000000000003"/>
    <x v="12"/>
    <d v="2025-01-16T00:00:00"/>
    <x v="2"/>
    <x v="2"/>
    <x v="0"/>
    <x v="0"/>
    <x v="6"/>
    <x v="2"/>
    <x v="2"/>
    <x v="2"/>
  </r>
  <r>
    <s v="TX500288"/>
    <x v="3"/>
    <x v="1"/>
    <n v="71.400000000000006"/>
    <n v="142.80000000000001"/>
    <x v="12"/>
    <d v="2025-01-14T00:00:00"/>
    <x v="1"/>
    <x v="0"/>
    <x v="0"/>
    <x v="0"/>
    <x v="7"/>
    <x v="3"/>
    <x v="2"/>
    <x v="1"/>
  </r>
  <r>
    <s v="TX500289"/>
    <x v="0"/>
    <x v="16"/>
    <n v="15.6"/>
    <n v="280.8"/>
    <x v="12"/>
    <d v="2025-01-14T00:00:00"/>
    <x v="1"/>
    <x v="1"/>
    <x v="3"/>
    <x v="0"/>
    <x v="8"/>
    <x v="3"/>
    <x v="2"/>
    <x v="1"/>
  </r>
  <r>
    <s v="TX500290"/>
    <x v="10"/>
    <x v="12"/>
    <n v="37.799999999999997"/>
    <n v="151.19999999999999"/>
    <x v="12"/>
    <d v="2025-01-14T00:00:00"/>
    <x v="1"/>
    <x v="2"/>
    <x v="2"/>
    <x v="0"/>
    <x v="8"/>
    <x v="3"/>
    <x v="2"/>
    <x v="1"/>
  </r>
  <r>
    <s v="TX500291"/>
    <x v="4"/>
    <x v="2"/>
    <n v="28.1"/>
    <n v="84.300000000000011"/>
    <x v="12"/>
    <d v="2025-01-17T00:00:00"/>
    <x v="1"/>
    <x v="0"/>
    <x v="0"/>
    <x v="0"/>
    <x v="8"/>
    <x v="5"/>
    <x v="2"/>
    <x v="1"/>
  </r>
  <r>
    <s v="TX500292"/>
    <x v="7"/>
    <x v="13"/>
    <n v="51.4"/>
    <n v="308.39999999999998"/>
    <x v="12"/>
    <d v="2025-01-17T00:00:00"/>
    <x v="1"/>
    <x v="0"/>
    <x v="0"/>
    <x v="0"/>
    <x v="8"/>
    <x v="5"/>
    <x v="2"/>
    <x v="1"/>
  </r>
  <r>
    <s v="TX500293"/>
    <x v="7"/>
    <x v="1"/>
    <n v="97.7"/>
    <n v="195.4"/>
    <x v="12"/>
    <d v="2025-01-15T00:00:00"/>
    <x v="2"/>
    <x v="4"/>
    <x v="2"/>
    <x v="0"/>
    <x v="17"/>
    <x v="1"/>
    <x v="2"/>
    <x v="2"/>
  </r>
  <r>
    <s v="TX500294"/>
    <x v="1"/>
    <x v="12"/>
    <n v="63.8"/>
    <n v="255.2"/>
    <x v="12"/>
    <d v="2025-01-14T00:00:00"/>
    <x v="1"/>
    <x v="2"/>
    <x v="0"/>
    <x v="0"/>
    <x v="38"/>
    <x v="3"/>
    <x v="2"/>
    <x v="1"/>
  </r>
  <r>
    <s v="TX500295"/>
    <x v="13"/>
    <x v="1"/>
    <n v="20.100000000000001"/>
    <n v="40.200000000000003"/>
    <x v="12"/>
    <d v="2025-01-15T00:00:00"/>
    <x v="1"/>
    <x v="0"/>
    <x v="2"/>
    <x v="0"/>
    <x v="20"/>
    <x v="1"/>
    <x v="2"/>
    <x v="1"/>
  </r>
  <r>
    <s v="TX500296"/>
    <x v="11"/>
    <x v="2"/>
    <n v="50.4"/>
    <n v="151.19999999999999"/>
    <x v="12"/>
    <d v="2025-01-16T00:00:00"/>
    <x v="2"/>
    <x v="3"/>
    <x v="0"/>
    <x v="0"/>
    <x v="13"/>
    <x v="2"/>
    <x v="2"/>
    <x v="2"/>
  </r>
  <r>
    <s v="TX500297"/>
    <x v="0"/>
    <x v="0"/>
    <n v="16.2"/>
    <n v="16.2"/>
    <x v="12"/>
    <d v="2025-01-26T00:00:00"/>
    <x v="2"/>
    <x v="1"/>
    <x v="0"/>
    <x v="0"/>
    <x v="1"/>
    <x v="10"/>
    <x v="2"/>
    <x v="2"/>
  </r>
  <r>
    <s v="TX500298"/>
    <x v="6"/>
    <x v="3"/>
    <n v="80.900000000000006"/>
    <n v="566.30000000000007"/>
    <x v="12"/>
    <d v="2025-01-15T00:00:00"/>
    <x v="1"/>
    <x v="4"/>
    <x v="4"/>
    <x v="0"/>
    <x v="2"/>
    <x v="1"/>
    <x v="2"/>
    <x v="1"/>
  </r>
  <r>
    <s v="TX500299"/>
    <x v="9"/>
    <x v="13"/>
    <n v="95.2"/>
    <n v="571.20000000000005"/>
    <x v="12"/>
    <d v="2025-01-15T00:00:00"/>
    <x v="2"/>
    <x v="0"/>
    <x v="2"/>
    <x v="0"/>
    <x v="2"/>
    <x v="1"/>
    <x v="2"/>
    <x v="2"/>
  </r>
  <r>
    <s v="TX500300"/>
    <x v="5"/>
    <x v="8"/>
    <n v="70.400000000000006"/>
    <n v="563.20000000000005"/>
    <x v="12"/>
    <d v="2025-01-14T00:00:00"/>
    <x v="1"/>
    <x v="1"/>
    <x v="1"/>
    <x v="0"/>
    <x v="3"/>
    <x v="3"/>
    <x v="2"/>
    <x v="1"/>
  </r>
  <r>
    <s v="TX500301"/>
    <x v="0"/>
    <x v="9"/>
    <n v="10.7"/>
    <n v="53.5"/>
    <x v="12"/>
    <d v="2025-01-17T00:00:00"/>
    <x v="2"/>
    <x v="2"/>
    <x v="0"/>
    <x v="0"/>
    <x v="3"/>
    <x v="5"/>
    <x v="2"/>
    <x v="2"/>
  </r>
  <r>
    <s v="TX500302"/>
    <x v="8"/>
    <x v="9"/>
    <n v="19.600000000000001"/>
    <n v="98"/>
    <x v="12"/>
    <d v="2025-01-15T00:00:00"/>
    <x v="2"/>
    <x v="0"/>
    <x v="3"/>
    <x v="0"/>
    <x v="3"/>
    <x v="1"/>
    <x v="2"/>
    <x v="2"/>
  </r>
  <r>
    <s v="TX500303"/>
    <x v="8"/>
    <x v="5"/>
    <n v="34.700000000000003"/>
    <n v="381.70000000000005"/>
    <x v="12"/>
    <d v="2025-01-15T00:00:00"/>
    <x v="2"/>
    <x v="0"/>
    <x v="2"/>
    <x v="0"/>
    <x v="3"/>
    <x v="1"/>
    <x v="2"/>
    <x v="2"/>
  </r>
  <r>
    <s v="TX500304"/>
    <x v="10"/>
    <x v="11"/>
    <n v="34.1"/>
    <n v="306.90000000000003"/>
    <x v="12"/>
    <d v="2025-01-14T00:00:00"/>
    <x v="2"/>
    <x v="4"/>
    <x v="1"/>
    <x v="0"/>
    <x v="3"/>
    <x v="3"/>
    <x v="2"/>
    <x v="2"/>
  </r>
  <r>
    <s v="TX500305"/>
    <x v="0"/>
    <x v="26"/>
    <n v="29.3"/>
    <n v="1435.7"/>
    <x v="12"/>
    <d v="2025-01-13T00:00:00"/>
    <x v="1"/>
    <x v="0"/>
    <x v="1"/>
    <x v="0"/>
    <x v="3"/>
    <x v="7"/>
    <x v="2"/>
    <x v="1"/>
  </r>
  <r>
    <s v="TX500306"/>
    <x v="1"/>
    <x v="0"/>
    <n v="55.2"/>
    <n v="55.2"/>
    <x v="12"/>
    <d v="2025-01-14T00:00:00"/>
    <x v="2"/>
    <x v="0"/>
    <x v="1"/>
    <x v="0"/>
    <x v="3"/>
    <x v="3"/>
    <x v="2"/>
    <x v="2"/>
  </r>
  <r>
    <s v="TX500307"/>
    <x v="18"/>
    <x v="2"/>
    <n v="26"/>
    <n v="78"/>
    <x v="12"/>
    <d v="2025-01-16T00:00:00"/>
    <x v="2"/>
    <x v="0"/>
    <x v="2"/>
    <x v="0"/>
    <x v="3"/>
    <x v="2"/>
    <x v="2"/>
    <x v="2"/>
  </r>
  <r>
    <s v="TX500308"/>
    <x v="14"/>
    <x v="1"/>
    <n v="14.2"/>
    <n v="28.4"/>
    <x v="12"/>
    <d v="2025-01-18T00:00:00"/>
    <x v="2"/>
    <x v="3"/>
    <x v="0"/>
    <x v="0"/>
    <x v="39"/>
    <x v="0"/>
    <x v="2"/>
    <x v="2"/>
  </r>
  <r>
    <s v="TX500309"/>
    <x v="8"/>
    <x v="11"/>
    <n v="22.7"/>
    <n v="204.29999999999998"/>
    <x v="13"/>
    <d v="2025-01-15T00:00:00"/>
    <x v="1"/>
    <x v="1"/>
    <x v="0"/>
    <x v="0"/>
    <x v="6"/>
    <x v="3"/>
    <x v="2"/>
    <x v="1"/>
  </r>
  <r>
    <s v="TX500310"/>
    <x v="0"/>
    <x v="20"/>
    <n v="19.8"/>
    <n v="297"/>
    <x v="13"/>
    <d v="2025-01-14T00:00:00"/>
    <x v="2"/>
    <x v="0"/>
    <x v="2"/>
    <x v="0"/>
    <x v="6"/>
    <x v="7"/>
    <x v="2"/>
    <x v="2"/>
  </r>
  <r>
    <s v="TX500311"/>
    <x v="0"/>
    <x v="2"/>
    <n v="31.7"/>
    <n v="95.1"/>
    <x v="13"/>
    <d v="2025-01-15T00:00:00"/>
    <x v="1"/>
    <x v="2"/>
    <x v="0"/>
    <x v="0"/>
    <x v="6"/>
    <x v="3"/>
    <x v="2"/>
    <x v="1"/>
  </r>
  <r>
    <s v="TX500312"/>
    <x v="8"/>
    <x v="12"/>
    <n v="30.4"/>
    <n v="121.6"/>
    <x v="13"/>
    <d v="2025-01-18T00:00:00"/>
    <x v="1"/>
    <x v="0"/>
    <x v="0"/>
    <x v="0"/>
    <x v="6"/>
    <x v="5"/>
    <x v="2"/>
    <x v="1"/>
  </r>
  <r>
    <s v="TX500313"/>
    <x v="0"/>
    <x v="12"/>
    <n v="25.6"/>
    <n v="102.4"/>
    <x v="13"/>
    <d v="2025-01-15T00:00:00"/>
    <x v="1"/>
    <x v="3"/>
    <x v="0"/>
    <x v="0"/>
    <x v="8"/>
    <x v="3"/>
    <x v="2"/>
    <x v="1"/>
  </r>
  <r>
    <s v="TX500314"/>
    <x v="5"/>
    <x v="1"/>
    <n v="34.9"/>
    <n v="69.8"/>
    <x v="13"/>
    <d v="2025-01-15T00:00:00"/>
    <x v="2"/>
    <x v="2"/>
    <x v="0"/>
    <x v="0"/>
    <x v="9"/>
    <x v="3"/>
    <x v="2"/>
    <x v="2"/>
  </r>
  <r>
    <s v="TX500315"/>
    <x v="7"/>
    <x v="13"/>
    <n v="42.7"/>
    <n v="256.20000000000005"/>
    <x v="13"/>
    <d v="2025-01-17T00:00:00"/>
    <x v="1"/>
    <x v="2"/>
    <x v="1"/>
    <x v="0"/>
    <x v="11"/>
    <x v="2"/>
    <x v="2"/>
    <x v="1"/>
  </r>
  <r>
    <s v="TX500316"/>
    <x v="8"/>
    <x v="0"/>
    <n v="23.9"/>
    <n v="23.9"/>
    <x v="13"/>
    <d v="2025-01-16T00:00:00"/>
    <x v="2"/>
    <x v="3"/>
    <x v="0"/>
    <x v="0"/>
    <x v="11"/>
    <x v="1"/>
    <x v="2"/>
    <x v="2"/>
  </r>
  <r>
    <s v="TX500317"/>
    <x v="6"/>
    <x v="0"/>
    <n v="124.3"/>
    <n v="124.3"/>
    <x v="13"/>
    <d v="2025-01-15T00:00:00"/>
    <x v="0"/>
    <x v="2"/>
    <x v="1"/>
    <x v="0"/>
    <x v="21"/>
    <x v="3"/>
    <x v="2"/>
    <x v="0"/>
  </r>
  <r>
    <s v="TX500318"/>
    <x v="8"/>
    <x v="13"/>
    <n v="35.9"/>
    <n v="215.39999999999998"/>
    <x v="13"/>
    <d v="2025-01-15T00:00:00"/>
    <x v="2"/>
    <x v="0"/>
    <x v="1"/>
    <x v="0"/>
    <x v="1"/>
    <x v="3"/>
    <x v="2"/>
    <x v="2"/>
  </r>
  <r>
    <s v="TX500319"/>
    <x v="2"/>
    <x v="1"/>
    <n v="69.099999999999994"/>
    <n v="138.19999999999999"/>
    <x v="13"/>
    <d v="2025-01-17T00:00:00"/>
    <x v="2"/>
    <x v="0"/>
    <x v="2"/>
    <x v="0"/>
    <x v="22"/>
    <x v="2"/>
    <x v="2"/>
    <x v="2"/>
  </r>
  <r>
    <s v="TX500320"/>
    <x v="7"/>
    <x v="0"/>
    <n v="58.4"/>
    <n v="58.4"/>
    <x v="13"/>
    <d v="2025-01-18T00:00:00"/>
    <x v="1"/>
    <x v="0"/>
    <x v="0"/>
    <x v="0"/>
    <x v="22"/>
    <x v="5"/>
    <x v="2"/>
    <x v="1"/>
  </r>
  <r>
    <s v="TX500321"/>
    <x v="5"/>
    <x v="0"/>
    <n v="65.2"/>
    <n v="65.2"/>
    <x v="13"/>
    <d v="2025-01-16T00:00:00"/>
    <x v="3"/>
    <x v="4"/>
    <x v="4"/>
    <x v="0"/>
    <x v="3"/>
    <x v="1"/>
    <x v="2"/>
    <x v="3"/>
  </r>
  <r>
    <s v="TX500322"/>
    <x v="8"/>
    <x v="14"/>
    <n v="32.700000000000003"/>
    <n v="555.90000000000009"/>
    <x v="13"/>
    <d v="2025-01-21T00:00:00"/>
    <x v="0"/>
    <x v="4"/>
    <x v="0"/>
    <x v="0"/>
    <x v="3"/>
    <x v="6"/>
    <x v="2"/>
    <x v="0"/>
  </r>
  <r>
    <s v="TX500323"/>
    <x v="10"/>
    <x v="3"/>
    <n v="24.4"/>
    <n v="170.79999999999998"/>
    <x v="13"/>
    <d v="2025-01-15T00:00:00"/>
    <x v="2"/>
    <x v="0"/>
    <x v="0"/>
    <x v="0"/>
    <x v="3"/>
    <x v="3"/>
    <x v="2"/>
    <x v="2"/>
  </r>
  <r>
    <s v="TX500324"/>
    <x v="14"/>
    <x v="1"/>
    <n v="50.4"/>
    <n v="100.8"/>
    <x v="13"/>
    <d v="2025-01-20T00:00:00"/>
    <x v="1"/>
    <x v="0"/>
    <x v="1"/>
    <x v="0"/>
    <x v="3"/>
    <x v="4"/>
    <x v="2"/>
    <x v="1"/>
  </r>
  <r>
    <s v="TX500325"/>
    <x v="1"/>
    <x v="1"/>
    <n v="100"/>
    <n v="200"/>
    <x v="13"/>
    <d v="2025-01-15T00:00:00"/>
    <x v="2"/>
    <x v="0"/>
    <x v="0"/>
    <x v="0"/>
    <x v="3"/>
    <x v="3"/>
    <x v="2"/>
    <x v="2"/>
  </r>
  <r>
    <s v="TX500326"/>
    <x v="10"/>
    <x v="2"/>
    <n v="43"/>
    <n v="129"/>
    <x v="14"/>
    <d v="2025-01-15T00:00:00"/>
    <x v="2"/>
    <x v="2"/>
    <x v="1"/>
    <x v="0"/>
    <x v="3"/>
    <x v="7"/>
    <x v="2"/>
    <x v="2"/>
  </r>
  <r>
    <s v="TX500327"/>
    <x v="1"/>
    <x v="9"/>
    <n v="64.400000000000006"/>
    <n v="322"/>
    <x v="14"/>
    <d v="2025-01-17T00:00:00"/>
    <x v="1"/>
    <x v="2"/>
    <x v="1"/>
    <x v="0"/>
    <x v="3"/>
    <x v="1"/>
    <x v="2"/>
    <x v="1"/>
  </r>
  <r>
    <s v="TX500328"/>
    <x v="18"/>
    <x v="1"/>
    <n v="57.4"/>
    <n v="114.8"/>
    <x v="14"/>
    <d v="2025-01-16T00:00:00"/>
    <x v="1"/>
    <x v="2"/>
    <x v="1"/>
    <x v="0"/>
    <x v="3"/>
    <x v="3"/>
    <x v="2"/>
    <x v="1"/>
  </r>
  <r>
    <s v="TX500329"/>
    <x v="2"/>
    <x v="2"/>
    <n v="55.1"/>
    <n v="165.3"/>
    <x v="14"/>
    <d v="2025-01-18T00:00:00"/>
    <x v="2"/>
    <x v="1"/>
    <x v="0"/>
    <x v="0"/>
    <x v="3"/>
    <x v="2"/>
    <x v="2"/>
    <x v="2"/>
  </r>
  <r>
    <s v="TX500330"/>
    <x v="7"/>
    <x v="12"/>
    <n v="45.4"/>
    <n v="181.6"/>
    <x v="14"/>
    <d v="2025-01-16T00:00:00"/>
    <x v="2"/>
    <x v="1"/>
    <x v="0"/>
    <x v="0"/>
    <x v="3"/>
    <x v="3"/>
    <x v="2"/>
    <x v="2"/>
  </r>
  <r>
    <s v="TX500331"/>
    <x v="3"/>
    <x v="2"/>
    <n v="93.3"/>
    <n v="279.89999999999998"/>
    <x v="14"/>
    <d v="2025-01-16T00:00:00"/>
    <x v="2"/>
    <x v="0"/>
    <x v="0"/>
    <x v="0"/>
    <x v="40"/>
    <x v="3"/>
    <x v="2"/>
    <x v="2"/>
  </r>
  <r>
    <s v="TX500332"/>
    <x v="2"/>
    <x v="10"/>
    <n v="158.19999999999999"/>
    <n v="3005.7999999999997"/>
    <x v="14"/>
    <d v="2025-01-16T00:00:00"/>
    <x v="2"/>
    <x v="1"/>
    <x v="2"/>
    <x v="0"/>
    <x v="16"/>
    <x v="3"/>
    <x v="2"/>
    <x v="2"/>
  </r>
  <r>
    <s v="TX500333"/>
    <x v="2"/>
    <x v="1"/>
    <n v="74.900000000000006"/>
    <n v="149.80000000000001"/>
    <x v="14"/>
    <d v="2025-01-17T00:00:00"/>
    <x v="1"/>
    <x v="3"/>
    <x v="0"/>
    <x v="0"/>
    <x v="6"/>
    <x v="1"/>
    <x v="2"/>
    <x v="1"/>
  </r>
  <r>
    <s v="TX500334"/>
    <x v="8"/>
    <x v="3"/>
    <n v="26"/>
    <n v="182"/>
    <x v="14"/>
    <d v="2025-01-18T00:00:00"/>
    <x v="2"/>
    <x v="1"/>
    <x v="0"/>
    <x v="0"/>
    <x v="8"/>
    <x v="2"/>
    <x v="2"/>
    <x v="2"/>
  </r>
  <r>
    <s v="TX500335"/>
    <x v="9"/>
    <x v="13"/>
    <n v="37.5"/>
    <n v="225"/>
    <x v="14"/>
    <d v="2025-01-16T00:00:00"/>
    <x v="2"/>
    <x v="0"/>
    <x v="1"/>
    <x v="0"/>
    <x v="8"/>
    <x v="3"/>
    <x v="2"/>
    <x v="2"/>
  </r>
  <r>
    <s v="TX500336"/>
    <x v="6"/>
    <x v="1"/>
    <n v="75.8"/>
    <n v="151.6"/>
    <x v="14"/>
    <d v="2025-01-21T00:00:00"/>
    <x v="1"/>
    <x v="0"/>
    <x v="0"/>
    <x v="0"/>
    <x v="8"/>
    <x v="4"/>
    <x v="2"/>
    <x v="1"/>
  </r>
  <r>
    <s v="TX500337"/>
    <x v="7"/>
    <x v="0"/>
    <n v="48.5"/>
    <n v="48.5"/>
    <x v="14"/>
    <d v="2025-01-27T00:00:00"/>
    <x v="0"/>
    <x v="4"/>
    <x v="2"/>
    <x v="0"/>
    <x v="8"/>
    <x v="13"/>
    <x v="2"/>
    <x v="0"/>
  </r>
  <r>
    <s v="TX500338"/>
    <x v="6"/>
    <x v="2"/>
    <n v="98.9"/>
    <n v="296.70000000000005"/>
    <x v="14"/>
    <d v="2025-01-17T00:00:00"/>
    <x v="2"/>
    <x v="4"/>
    <x v="1"/>
    <x v="0"/>
    <x v="8"/>
    <x v="1"/>
    <x v="2"/>
    <x v="2"/>
  </r>
  <r>
    <s v="TX500339"/>
    <x v="1"/>
    <x v="4"/>
    <n v="50.9"/>
    <n v="610.79999999999995"/>
    <x v="14"/>
    <d v="2025-01-15T00:00:00"/>
    <x v="1"/>
    <x v="4"/>
    <x v="0"/>
    <x v="0"/>
    <x v="8"/>
    <x v="7"/>
    <x v="2"/>
    <x v="1"/>
  </r>
  <r>
    <s v="TX500340"/>
    <x v="12"/>
    <x v="13"/>
    <n v="84.7"/>
    <n v="508.20000000000005"/>
    <x v="14"/>
    <d v="2025-01-15T00:00:00"/>
    <x v="2"/>
    <x v="2"/>
    <x v="0"/>
    <x v="0"/>
    <x v="8"/>
    <x v="7"/>
    <x v="2"/>
    <x v="2"/>
  </r>
  <r>
    <s v="TX500341"/>
    <x v="8"/>
    <x v="0"/>
    <n v="20.7"/>
    <n v="20.7"/>
    <x v="14"/>
    <d v="2025-01-17T00:00:00"/>
    <x v="2"/>
    <x v="3"/>
    <x v="2"/>
    <x v="0"/>
    <x v="8"/>
    <x v="1"/>
    <x v="2"/>
    <x v="2"/>
  </r>
  <r>
    <s v="TX500342"/>
    <x v="12"/>
    <x v="11"/>
    <n v="57.8"/>
    <n v="520.19999999999993"/>
    <x v="14"/>
    <d v="2025-01-26T00:00:00"/>
    <x v="1"/>
    <x v="0"/>
    <x v="4"/>
    <x v="0"/>
    <x v="17"/>
    <x v="11"/>
    <x v="2"/>
    <x v="1"/>
  </r>
  <r>
    <s v="TX500343"/>
    <x v="2"/>
    <x v="1"/>
    <n v="106.9"/>
    <n v="213.8"/>
    <x v="14"/>
    <d v="2025-01-17T00:00:00"/>
    <x v="2"/>
    <x v="0"/>
    <x v="2"/>
    <x v="0"/>
    <x v="41"/>
    <x v="1"/>
    <x v="2"/>
    <x v="2"/>
  </r>
  <r>
    <s v="TX500344"/>
    <x v="3"/>
    <x v="9"/>
    <n v="45.2"/>
    <n v="226"/>
    <x v="14"/>
    <d v="2025-01-19T00:00:00"/>
    <x v="2"/>
    <x v="1"/>
    <x v="0"/>
    <x v="0"/>
    <x v="21"/>
    <x v="5"/>
    <x v="2"/>
    <x v="2"/>
  </r>
  <r>
    <s v="TX500345"/>
    <x v="8"/>
    <x v="15"/>
    <n v="34.6"/>
    <n v="449.8"/>
    <x v="14"/>
    <d v="2025-01-15T00:00:00"/>
    <x v="2"/>
    <x v="1"/>
    <x v="1"/>
    <x v="0"/>
    <x v="21"/>
    <x v="7"/>
    <x v="2"/>
    <x v="2"/>
  </r>
  <r>
    <s v="TX500346"/>
    <x v="15"/>
    <x v="0"/>
    <n v="43.8"/>
    <n v="43.8"/>
    <x v="14"/>
    <d v="2025-01-17T00:00:00"/>
    <x v="0"/>
    <x v="0"/>
    <x v="2"/>
    <x v="0"/>
    <x v="21"/>
    <x v="1"/>
    <x v="2"/>
    <x v="0"/>
  </r>
  <r>
    <s v="TX500347"/>
    <x v="15"/>
    <x v="0"/>
    <n v="20.399999999999999"/>
    <n v="20.399999999999999"/>
    <x v="14"/>
    <d v="2025-01-17T00:00:00"/>
    <x v="1"/>
    <x v="4"/>
    <x v="1"/>
    <x v="0"/>
    <x v="21"/>
    <x v="1"/>
    <x v="2"/>
    <x v="1"/>
  </r>
  <r>
    <s v="TX500348"/>
    <x v="1"/>
    <x v="0"/>
    <n v="36.700000000000003"/>
    <n v="36.700000000000003"/>
    <x v="14"/>
    <d v="2025-01-16T00:00:00"/>
    <x v="1"/>
    <x v="0"/>
    <x v="1"/>
    <x v="0"/>
    <x v="1"/>
    <x v="3"/>
    <x v="2"/>
    <x v="1"/>
  </r>
  <r>
    <s v="TX500349"/>
    <x v="8"/>
    <x v="2"/>
    <n v="27.2"/>
    <n v="81.599999999999994"/>
    <x v="14"/>
    <d v="2025-01-19T00:00:00"/>
    <x v="1"/>
    <x v="0"/>
    <x v="2"/>
    <x v="0"/>
    <x v="1"/>
    <x v="5"/>
    <x v="2"/>
    <x v="1"/>
  </r>
  <r>
    <s v="TX500350"/>
    <x v="6"/>
    <x v="0"/>
    <n v="58.2"/>
    <n v="58.2"/>
    <x v="14"/>
    <d v="2025-01-16T00:00:00"/>
    <x v="2"/>
    <x v="0"/>
    <x v="2"/>
    <x v="0"/>
    <x v="42"/>
    <x v="3"/>
    <x v="2"/>
    <x v="2"/>
  </r>
  <r>
    <s v="TX500351"/>
    <x v="8"/>
    <x v="2"/>
    <n v="25.6"/>
    <n v="76.800000000000011"/>
    <x v="14"/>
    <d v="2025-01-16T00:00:00"/>
    <x v="1"/>
    <x v="4"/>
    <x v="4"/>
    <x v="0"/>
    <x v="2"/>
    <x v="3"/>
    <x v="2"/>
    <x v="1"/>
  </r>
  <r>
    <s v="TX500352"/>
    <x v="10"/>
    <x v="0"/>
    <n v="21.2"/>
    <n v="21.2"/>
    <x v="14"/>
    <d v="2025-01-15T00:00:00"/>
    <x v="2"/>
    <x v="1"/>
    <x v="2"/>
    <x v="0"/>
    <x v="3"/>
    <x v="7"/>
    <x v="2"/>
    <x v="2"/>
  </r>
  <r>
    <s v="TX500353"/>
    <x v="6"/>
    <x v="1"/>
    <n v="48.2"/>
    <n v="96.4"/>
    <x v="14"/>
    <d v="2025-01-23T00:00:00"/>
    <x v="2"/>
    <x v="0"/>
    <x v="2"/>
    <x v="0"/>
    <x v="3"/>
    <x v="9"/>
    <x v="2"/>
    <x v="2"/>
  </r>
  <r>
    <s v="TX500354"/>
    <x v="1"/>
    <x v="12"/>
    <n v="83.4"/>
    <n v="333.6"/>
    <x v="15"/>
    <d v="2025-01-17T00:00:00"/>
    <x v="1"/>
    <x v="0"/>
    <x v="0"/>
    <x v="0"/>
    <x v="3"/>
    <x v="3"/>
    <x v="2"/>
    <x v="1"/>
  </r>
  <r>
    <s v="TX500355"/>
    <x v="9"/>
    <x v="2"/>
    <n v="45.3"/>
    <n v="135.89999999999998"/>
    <x v="15"/>
    <d v="2025-01-22T00:00:00"/>
    <x v="1"/>
    <x v="2"/>
    <x v="1"/>
    <x v="0"/>
    <x v="3"/>
    <x v="4"/>
    <x v="2"/>
    <x v="1"/>
  </r>
  <r>
    <s v="TX500356"/>
    <x v="17"/>
    <x v="0"/>
    <n v="42"/>
    <n v="42"/>
    <x v="15"/>
    <d v="2025-01-17T00:00:00"/>
    <x v="0"/>
    <x v="0"/>
    <x v="0"/>
    <x v="0"/>
    <x v="3"/>
    <x v="3"/>
    <x v="2"/>
    <x v="0"/>
  </r>
  <r>
    <s v="TX500357"/>
    <x v="0"/>
    <x v="11"/>
    <n v="21.8"/>
    <n v="196.20000000000002"/>
    <x v="15"/>
    <d v="2025-01-18T00:00:00"/>
    <x v="2"/>
    <x v="1"/>
    <x v="0"/>
    <x v="0"/>
    <x v="3"/>
    <x v="1"/>
    <x v="2"/>
    <x v="2"/>
  </r>
  <r>
    <s v="TX500358"/>
    <x v="8"/>
    <x v="16"/>
    <n v="21.4"/>
    <n v="385.2"/>
    <x v="15"/>
    <d v="2025-01-19T00:00:00"/>
    <x v="2"/>
    <x v="1"/>
    <x v="2"/>
    <x v="0"/>
    <x v="3"/>
    <x v="2"/>
    <x v="2"/>
    <x v="2"/>
  </r>
  <r>
    <s v="TX500359"/>
    <x v="10"/>
    <x v="2"/>
    <n v="45"/>
    <n v="135"/>
    <x v="15"/>
    <d v="2025-01-16T00:00:00"/>
    <x v="2"/>
    <x v="1"/>
    <x v="2"/>
    <x v="0"/>
    <x v="3"/>
    <x v="7"/>
    <x v="2"/>
    <x v="2"/>
  </r>
  <r>
    <s v="TX500360"/>
    <x v="14"/>
    <x v="0"/>
    <n v="39.6"/>
    <n v="39.6"/>
    <x v="15"/>
    <d v="2025-01-17T00:00:00"/>
    <x v="1"/>
    <x v="0"/>
    <x v="2"/>
    <x v="0"/>
    <x v="3"/>
    <x v="3"/>
    <x v="2"/>
    <x v="1"/>
  </r>
  <r>
    <s v="TX500361"/>
    <x v="12"/>
    <x v="2"/>
    <n v="79.8"/>
    <n v="239.39999999999998"/>
    <x v="15"/>
    <d v="2025-01-22T00:00:00"/>
    <x v="2"/>
    <x v="1"/>
    <x v="4"/>
    <x v="0"/>
    <x v="3"/>
    <x v="4"/>
    <x v="2"/>
    <x v="2"/>
  </r>
  <r>
    <s v="TX500362"/>
    <x v="1"/>
    <x v="12"/>
    <n v="63.6"/>
    <n v="254.4"/>
    <x v="15"/>
    <d v="2025-01-17T00:00:00"/>
    <x v="3"/>
    <x v="0"/>
    <x v="2"/>
    <x v="0"/>
    <x v="24"/>
    <x v="3"/>
    <x v="2"/>
    <x v="3"/>
  </r>
  <r>
    <s v="TX500363"/>
    <x v="7"/>
    <x v="7"/>
    <n v="92.7"/>
    <n v="927"/>
    <x v="15"/>
    <d v="2025-01-20T00:00:00"/>
    <x v="1"/>
    <x v="1"/>
    <x v="2"/>
    <x v="0"/>
    <x v="6"/>
    <x v="5"/>
    <x v="2"/>
    <x v="1"/>
  </r>
  <r>
    <s v="TX500364"/>
    <x v="1"/>
    <x v="12"/>
    <n v="48.4"/>
    <n v="193.6"/>
    <x v="15"/>
    <d v="2025-01-18T00:00:00"/>
    <x v="2"/>
    <x v="1"/>
    <x v="2"/>
    <x v="0"/>
    <x v="6"/>
    <x v="1"/>
    <x v="2"/>
    <x v="2"/>
  </r>
  <r>
    <s v="TX500365"/>
    <x v="9"/>
    <x v="8"/>
    <n v="36"/>
    <n v="288"/>
    <x v="15"/>
    <d v="2025-01-19T00:00:00"/>
    <x v="1"/>
    <x v="2"/>
    <x v="2"/>
    <x v="0"/>
    <x v="8"/>
    <x v="2"/>
    <x v="2"/>
    <x v="1"/>
  </r>
  <r>
    <s v="TX500366"/>
    <x v="8"/>
    <x v="4"/>
    <n v="27"/>
    <n v="324"/>
    <x v="15"/>
    <d v="2025-01-18T00:00:00"/>
    <x v="2"/>
    <x v="2"/>
    <x v="1"/>
    <x v="0"/>
    <x v="8"/>
    <x v="1"/>
    <x v="2"/>
    <x v="2"/>
  </r>
  <r>
    <s v="TX500367"/>
    <x v="2"/>
    <x v="8"/>
    <n v="53.9"/>
    <n v="431.2"/>
    <x v="15"/>
    <d v="2025-01-17T00:00:00"/>
    <x v="0"/>
    <x v="0"/>
    <x v="0"/>
    <x v="0"/>
    <x v="8"/>
    <x v="3"/>
    <x v="2"/>
    <x v="0"/>
  </r>
  <r>
    <s v="TX500368"/>
    <x v="3"/>
    <x v="11"/>
    <n v="48.4"/>
    <n v="435.59999999999997"/>
    <x v="15"/>
    <d v="2025-01-17T00:00:00"/>
    <x v="2"/>
    <x v="1"/>
    <x v="0"/>
    <x v="0"/>
    <x v="9"/>
    <x v="3"/>
    <x v="2"/>
    <x v="2"/>
  </r>
  <r>
    <s v="TX500369"/>
    <x v="17"/>
    <x v="1"/>
    <n v="49.9"/>
    <n v="99.8"/>
    <x v="15"/>
    <d v="2025-01-21T00:00:00"/>
    <x v="1"/>
    <x v="4"/>
    <x v="4"/>
    <x v="0"/>
    <x v="10"/>
    <x v="0"/>
    <x v="2"/>
    <x v="1"/>
  </r>
  <r>
    <s v="TX500370"/>
    <x v="1"/>
    <x v="2"/>
    <n v="51.7"/>
    <n v="155.10000000000002"/>
    <x v="15"/>
    <d v="2025-01-17T00:00:00"/>
    <x v="2"/>
    <x v="0"/>
    <x v="2"/>
    <x v="0"/>
    <x v="11"/>
    <x v="3"/>
    <x v="2"/>
    <x v="2"/>
  </r>
  <r>
    <s v="TX500371"/>
    <x v="8"/>
    <x v="2"/>
    <n v="41.8"/>
    <n v="125.39999999999999"/>
    <x v="15"/>
    <d v="2025-01-18T00:00:00"/>
    <x v="2"/>
    <x v="2"/>
    <x v="0"/>
    <x v="0"/>
    <x v="18"/>
    <x v="1"/>
    <x v="2"/>
    <x v="2"/>
  </r>
  <r>
    <s v="TX500372"/>
    <x v="4"/>
    <x v="12"/>
    <n v="36.200000000000003"/>
    <n v="144.80000000000001"/>
    <x v="16"/>
    <d v="2025-01-18T00:00:00"/>
    <x v="1"/>
    <x v="2"/>
    <x v="2"/>
    <x v="0"/>
    <x v="21"/>
    <x v="3"/>
    <x v="2"/>
    <x v="1"/>
  </r>
  <r>
    <s v="TX500373"/>
    <x v="2"/>
    <x v="0"/>
    <n v="150.9"/>
    <n v="150.9"/>
    <x v="16"/>
    <d v="2025-01-27T00:00:00"/>
    <x v="1"/>
    <x v="0"/>
    <x v="0"/>
    <x v="0"/>
    <x v="1"/>
    <x v="14"/>
    <x v="2"/>
    <x v="1"/>
  </r>
  <r>
    <s v="TX500374"/>
    <x v="18"/>
    <x v="12"/>
    <n v="77.599999999999994"/>
    <n v="310.39999999999998"/>
    <x v="16"/>
    <d v="2025-01-18T00:00:00"/>
    <x v="0"/>
    <x v="2"/>
    <x v="0"/>
    <x v="0"/>
    <x v="3"/>
    <x v="3"/>
    <x v="2"/>
    <x v="0"/>
  </r>
  <r>
    <s v="TX500375"/>
    <x v="13"/>
    <x v="9"/>
    <n v="65.5"/>
    <n v="327.5"/>
    <x v="16"/>
    <d v="2025-01-17T00:00:00"/>
    <x v="1"/>
    <x v="1"/>
    <x v="0"/>
    <x v="0"/>
    <x v="3"/>
    <x v="7"/>
    <x v="2"/>
    <x v="1"/>
  </r>
  <r>
    <s v="TX500376"/>
    <x v="6"/>
    <x v="2"/>
    <n v="90.1"/>
    <n v="270.29999999999995"/>
    <x v="16"/>
    <d v="2025-01-19T00:00:00"/>
    <x v="2"/>
    <x v="0"/>
    <x v="0"/>
    <x v="0"/>
    <x v="3"/>
    <x v="1"/>
    <x v="2"/>
    <x v="2"/>
  </r>
  <r>
    <s v="TX500377"/>
    <x v="1"/>
    <x v="1"/>
    <n v="108.3"/>
    <n v="216.6"/>
    <x v="16"/>
    <d v="2025-01-20T00:00:00"/>
    <x v="3"/>
    <x v="4"/>
    <x v="0"/>
    <x v="0"/>
    <x v="3"/>
    <x v="2"/>
    <x v="2"/>
    <x v="3"/>
  </r>
  <r>
    <s v="TX500378"/>
    <x v="5"/>
    <x v="2"/>
    <n v="59.9"/>
    <n v="179.7"/>
    <x v="16"/>
    <d v="2025-01-21T00:00:00"/>
    <x v="2"/>
    <x v="0"/>
    <x v="0"/>
    <x v="0"/>
    <x v="3"/>
    <x v="5"/>
    <x v="2"/>
    <x v="2"/>
  </r>
  <r>
    <s v="TX500379"/>
    <x v="2"/>
    <x v="14"/>
    <n v="139"/>
    <n v="2363"/>
    <x v="16"/>
    <d v="2025-01-19T00:00:00"/>
    <x v="2"/>
    <x v="1"/>
    <x v="4"/>
    <x v="0"/>
    <x v="3"/>
    <x v="1"/>
    <x v="2"/>
    <x v="2"/>
  </r>
  <r>
    <s v="TX500380"/>
    <x v="6"/>
    <x v="2"/>
    <n v="87.3"/>
    <n v="261.89999999999998"/>
    <x v="16"/>
    <d v="2025-01-18T00:00:00"/>
    <x v="2"/>
    <x v="0"/>
    <x v="0"/>
    <x v="0"/>
    <x v="3"/>
    <x v="3"/>
    <x v="2"/>
    <x v="2"/>
  </r>
  <r>
    <s v="TX500381"/>
    <x v="11"/>
    <x v="12"/>
    <n v="42.3"/>
    <n v="169.2"/>
    <x v="16"/>
    <d v="2025-01-17T00:00:00"/>
    <x v="1"/>
    <x v="0"/>
    <x v="0"/>
    <x v="0"/>
    <x v="3"/>
    <x v="7"/>
    <x v="2"/>
    <x v="1"/>
  </r>
  <r>
    <s v="TX500382"/>
    <x v="14"/>
    <x v="8"/>
    <n v="103.6"/>
    <n v="828.8"/>
    <x v="16"/>
    <d v="2025-01-18T00:00:00"/>
    <x v="3"/>
    <x v="0"/>
    <x v="1"/>
    <x v="0"/>
    <x v="3"/>
    <x v="3"/>
    <x v="2"/>
    <x v="3"/>
  </r>
  <r>
    <s v="TX500383"/>
    <x v="6"/>
    <x v="1"/>
    <n v="90.9"/>
    <n v="181.8"/>
    <x v="16"/>
    <d v="2025-01-18T00:00:00"/>
    <x v="1"/>
    <x v="1"/>
    <x v="0"/>
    <x v="0"/>
    <x v="6"/>
    <x v="3"/>
    <x v="2"/>
    <x v="1"/>
  </r>
  <r>
    <s v="TX500384"/>
    <x v="9"/>
    <x v="27"/>
    <n v="100.9"/>
    <n v="1614.4"/>
    <x v="16"/>
    <d v="2025-01-18T00:00:00"/>
    <x v="2"/>
    <x v="1"/>
    <x v="0"/>
    <x v="0"/>
    <x v="6"/>
    <x v="3"/>
    <x v="2"/>
    <x v="2"/>
  </r>
  <r>
    <s v="TX500385"/>
    <x v="4"/>
    <x v="9"/>
    <n v="36"/>
    <n v="180"/>
    <x v="16"/>
    <d v="2025-01-19T00:00:00"/>
    <x v="2"/>
    <x v="1"/>
    <x v="0"/>
    <x v="0"/>
    <x v="7"/>
    <x v="1"/>
    <x v="2"/>
    <x v="2"/>
  </r>
  <r>
    <s v="TX500386"/>
    <x v="6"/>
    <x v="13"/>
    <n v="83.3"/>
    <n v="499.79999999999995"/>
    <x v="16"/>
    <d v="2025-01-20T00:00:00"/>
    <x v="0"/>
    <x v="2"/>
    <x v="0"/>
    <x v="0"/>
    <x v="7"/>
    <x v="2"/>
    <x v="2"/>
    <x v="0"/>
  </r>
  <r>
    <s v="TX500387"/>
    <x v="2"/>
    <x v="14"/>
    <n v="60.3"/>
    <n v="1025.0999999999999"/>
    <x v="16"/>
    <d v="2025-01-18T00:00:00"/>
    <x v="1"/>
    <x v="2"/>
    <x v="1"/>
    <x v="0"/>
    <x v="7"/>
    <x v="3"/>
    <x v="2"/>
    <x v="1"/>
  </r>
  <r>
    <s v="TX500388"/>
    <x v="2"/>
    <x v="13"/>
    <n v="120.3"/>
    <n v="721.8"/>
    <x v="16"/>
    <d v="2025-01-18T00:00:00"/>
    <x v="1"/>
    <x v="2"/>
    <x v="0"/>
    <x v="0"/>
    <x v="8"/>
    <x v="3"/>
    <x v="2"/>
    <x v="1"/>
  </r>
  <r>
    <s v="TX500389"/>
    <x v="4"/>
    <x v="7"/>
    <n v="34"/>
    <n v="340"/>
    <x v="16"/>
    <d v="2025-01-21T00:00:00"/>
    <x v="2"/>
    <x v="2"/>
    <x v="0"/>
    <x v="0"/>
    <x v="8"/>
    <x v="5"/>
    <x v="2"/>
    <x v="2"/>
  </r>
  <r>
    <s v="TX500390"/>
    <x v="10"/>
    <x v="9"/>
    <n v="42.6"/>
    <n v="213"/>
    <x v="16"/>
    <d v="2025-01-20T00:00:00"/>
    <x v="1"/>
    <x v="1"/>
    <x v="0"/>
    <x v="0"/>
    <x v="8"/>
    <x v="2"/>
    <x v="2"/>
    <x v="1"/>
  </r>
  <r>
    <s v="TX500391"/>
    <x v="5"/>
    <x v="28"/>
    <n v="47.4"/>
    <n v="948"/>
    <x v="16"/>
    <d v="2025-01-17T00:00:00"/>
    <x v="2"/>
    <x v="2"/>
    <x v="1"/>
    <x v="0"/>
    <x v="17"/>
    <x v="7"/>
    <x v="2"/>
    <x v="2"/>
  </r>
  <r>
    <s v="TX500392"/>
    <x v="2"/>
    <x v="0"/>
    <n v="74"/>
    <n v="74"/>
    <x v="17"/>
    <d v="2025-01-19T00:00:00"/>
    <x v="1"/>
    <x v="1"/>
    <x v="0"/>
    <x v="0"/>
    <x v="11"/>
    <x v="3"/>
    <x v="2"/>
    <x v="1"/>
  </r>
  <r>
    <s v="TX500393"/>
    <x v="2"/>
    <x v="9"/>
    <n v="60.4"/>
    <n v="302"/>
    <x v="17"/>
    <d v="2025-01-21T00:00:00"/>
    <x v="2"/>
    <x v="1"/>
    <x v="4"/>
    <x v="0"/>
    <x v="18"/>
    <x v="2"/>
    <x v="2"/>
    <x v="2"/>
  </r>
  <r>
    <s v="TX500394"/>
    <x v="12"/>
    <x v="1"/>
    <n v="69.3"/>
    <n v="138.6"/>
    <x v="17"/>
    <d v="2025-01-21T00:00:00"/>
    <x v="1"/>
    <x v="1"/>
    <x v="1"/>
    <x v="0"/>
    <x v="13"/>
    <x v="2"/>
    <x v="2"/>
    <x v="1"/>
  </r>
  <r>
    <s v="TX500395"/>
    <x v="5"/>
    <x v="9"/>
    <n v="81"/>
    <n v="405"/>
    <x v="17"/>
    <d v="2025-01-24T00:00:00"/>
    <x v="1"/>
    <x v="3"/>
    <x v="0"/>
    <x v="0"/>
    <x v="21"/>
    <x v="4"/>
    <x v="2"/>
    <x v="1"/>
  </r>
  <r>
    <s v="TX500396"/>
    <x v="15"/>
    <x v="2"/>
    <n v="41.5"/>
    <n v="124.5"/>
    <x v="17"/>
    <d v="2025-01-20T00:00:00"/>
    <x v="3"/>
    <x v="1"/>
    <x v="0"/>
    <x v="0"/>
    <x v="21"/>
    <x v="1"/>
    <x v="2"/>
    <x v="3"/>
  </r>
  <r>
    <s v="TX500397"/>
    <x v="18"/>
    <x v="1"/>
    <n v="69.7"/>
    <n v="139.4"/>
    <x v="17"/>
    <d v="2025-01-23T00:00:00"/>
    <x v="1"/>
    <x v="1"/>
    <x v="0"/>
    <x v="0"/>
    <x v="21"/>
    <x v="0"/>
    <x v="2"/>
    <x v="1"/>
  </r>
  <r>
    <s v="TX500398"/>
    <x v="2"/>
    <x v="9"/>
    <n v="83.6"/>
    <n v="418"/>
    <x v="17"/>
    <d v="2025-01-18T00:00:00"/>
    <x v="2"/>
    <x v="4"/>
    <x v="0"/>
    <x v="0"/>
    <x v="1"/>
    <x v="7"/>
    <x v="2"/>
    <x v="2"/>
  </r>
  <r>
    <s v="TX500399"/>
    <x v="8"/>
    <x v="3"/>
    <n v="21.5"/>
    <n v="150.5"/>
    <x v="17"/>
    <d v="2025-01-20T00:00:00"/>
    <x v="1"/>
    <x v="1"/>
    <x v="4"/>
    <x v="0"/>
    <x v="34"/>
    <x v="1"/>
    <x v="2"/>
    <x v="1"/>
  </r>
  <r>
    <s v="TX500400"/>
    <x v="8"/>
    <x v="8"/>
    <n v="28.6"/>
    <n v="228.8"/>
    <x v="17"/>
    <d v="2025-01-19T00:00:00"/>
    <x v="1"/>
    <x v="0"/>
    <x v="0"/>
    <x v="0"/>
    <x v="3"/>
    <x v="3"/>
    <x v="2"/>
    <x v="1"/>
  </r>
  <r>
    <s v="TX500401"/>
    <x v="8"/>
    <x v="13"/>
    <n v="18.8"/>
    <n v="112.80000000000001"/>
    <x v="17"/>
    <d v="2025-01-21T00:00:00"/>
    <x v="1"/>
    <x v="3"/>
    <x v="2"/>
    <x v="0"/>
    <x v="3"/>
    <x v="2"/>
    <x v="2"/>
    <x v="1"/>
  </r>
  <r>
    <s v="TX500402"/>
    <x v="10"/>
    <x v="12"/>
    <n v="35.1"/>
    <n v="140.4"/>
    <x v="17"/>
    <d v="2025-01-18T00:00:00"/>
    <x v="2"/>
    <x v="1"/>
    <x v="1"/>
    <x v="0"/>
    <x v="3"/>
    <x v="7"/>
    <x v="2"/>
    <x v="2"/>
  </r>
  <r>
    <s v="TX500403"/>
    <x v="0"/>
    <x v="1"/>
    <n v="12.7"/>
    <n v="25.4"/>
    <x v="17"/>
    <d v="2025-01-20T00:00:00"/>
    <x v="2"/>
    <x v="1"/>
    <x v="2"/>
    <x v="0"/>
    <x v="3"/>
    <x v="1"/>
    <x v="2"/>
    <x v="2"/>
  </r>
  <r>
    <s v="TX500404"/>
    <x v="8"/>
    <x v="9"/>
    <n v="27.4"/>
    <n v="137"/>
    <x v="17"/>
    <d v="2025-01-20T00:00:00"/>
    <x v="3"/>
    <x v="0"/>
    <x v="0"/>
    <x v="0"/>
    <x v="3"/>
    <x v="1"/>
    <x v="2"/>
    <x v="3"/>
  </r>
  <r>
    <s v="TX500405"/>
    <x v="10"/>
    <x v="1"/>
    <n v="61.3"/>
    <n v="122.6"/>
    <x v="17"/>
    <d v="2025-01-19T00:00:00"/>
    <x v="2"/>
    <x v="1"/>
    <x v="0"/>
    <x v="0"/>
    <x v="6"/>
    <x v="3"/>
    <x v="2"/>
    <x v="2"/>
  </r>
  <r>
    <s v="TX500406"/>
    <x v="8"/>
    <x v="1"/>
    <n v="64.7"/>
    <n v="129.4"/>
    <x v="17"/>
    <d v="2025-01-20T00:00:00"/>
    <x v="2"/>
    <x v="3"/>
    <x v="2"/>
    <x v="0"/>
    <x v="6"/>
    <x v="1"/>
    <x v="2"/>
    <x v="2"/>
  </r>
  <r>
    <s v="TX500407"/>
    <x v="7"/>
    <x v="12"/>
    <n v="91.4"/>
    <n v="365.6"/>
    <x v="17"/>
    <d v="2025-01-20T00:00:00"/>
    <x v="2"/>
    <x v="0"/>
    <x v="0"/>
    <x v="0"/>
    <x v="8"/>
    <x v="1"/>
    <x v="2"/>
    <x v="2"/>
  </r>
  <r>
    <s v="TX500408"/>
    <x v="0"/>
    <x v="1"/>
    <n v="33.1"/>
    <n v="66.2"/>
    <x v="18"/>
    <d v="2025-01-20T00:00:00"/>
    <x v="1"/>
    <x v="0"/>
    <x v="2"/>
    <x v="0"/>
    <x v="8"/>
    <x v="3"/>
    <x v="3"/>
    <x v="1"/>
  </r>
  <r>
    <s v="TX500409"/>
    <x v="3"/>
    <x v="1"/>
    <n v="105.6"/>
    <n v="211.2"/>
    <x v="18"/>
    <d v="2025-01-20T00:00:00"/>
    <x v="1"/>
    <x v="2"/>
    <x v="1"/>
    <x v="0"/>
    <x v="8"/>
    <x v="3"/>
    <x v="3"/>
    <x v="1"/>
  </r>
  <r>
    <s v="TX500410"/>
    <x v="10"/>
    <x v="2"/>
    <n v="46.4"/>
    <n v="139.19999999999999"/>
    <x v="18"/>
    <d v="2025-01-20T00:00:00"/>
    <x v="1"/>
    <x v="2"/>
    <x v="0"/>
    <x v="0"/>
    <x v="9"/>
    <x v="3"/>
    <x v="3"/>
    <x v="1"/>
  </r>
  <r>
    <s v="TX500411"/>
    <x v="9"/>
    <x v="21"/>
    <n v="35.299999999999997"/>
    <n v="494.19999999999993"/>
    <x v="18"/>
    <d v="2025-01-22T00:00:00"/>
    <x v="2"/>
    <x v="4"/>
    <x v="1"/>
    <x v="0"/>
    <x v="11"/>
    <x v="2"/>
    <x v="3"/>
    <x v="2"/>
  </r>
  <r>
    <s v="TX500412"/>
    <x v="0"/>
    <x v="1"/>
    <n v="16.100000000000001"/>
    <n v="32.200000000000003"/>
    <x v="18"/>
    <d v="2025-01-21T00:00:00"/>
    <x v="1"/>
    <x v="3"/>
    <x v="2"/>
    <x v="0"/>
    <x v="32"/>
    <x v="1"/>
    <x v="3"/>
    <x v="1"/>
  </r>
  <r>
    <s v="TX500413"/>
    <x v="4"/>
    <x v="1"/>
    <n v="27.9"/>
    <n v="55.8"/>
    <x v="18"/>
    <d v="2025-01-22T00:00:00"/>
    <x v="1"/>
    <x v="0"/>
    <x v="0"/>
    <x v="0"/>
    <x v="13"/>
    <x v="2"/>
    <x v="3"/>
    <x v="1"/>
  </r>
  <r>
    <s v="TX500414"/>
    <x v="8"/>
    <x v="0"/>
    <n v="47.1"/>
    <n v="47.1"/>
    <x v="18"/>
    <d v="2025-01-27T00:00:00"/>
    <x v="2"/>
    <x v="1"/>
    <x v="0"/>
    <x v="0"/>
    <x v="2"/>
    <x v="9"/>
    <x v="3"/>
    <x v="2"/>
  </r>
  <r>
    <s v="TX500415"/>
    <x v="6"/>
    <x v="1"/>
    <n v="85"/>
    <n v="170"/>
    <x v="18"/>
    <d v="2025-01-22T00:00:00"/>
    <x v="0"/>
    <x v="2"/>
    <x v="2"/>
    <x v="0"/>
    <x v="22"/>
    <x v="2"/>
    <x v="3"/>
    <x v="0"/>
  </r>
  <r>
    <s v="TX500416"/>
    <x v="18"/>
    <x v="1"/>
    <n v="89"/>
    <n v="178"/>
    <x v="18"/>
    <d v="2025-01-21T00:00:00"/>
    <x v="2"/>
    <x v="0"/>
    <x v="0"/>
    <x v="0"/>
    <x v="3"/>
    <x v="1"/>
    <x v="3"/>
    <x v="2"/>
  </r>
  <r>
    <s v="TX500417"/>
    <x v="16"/>
    <x v="2"/>
    <n v="36.6"/>
    <n v="109.80000000000001"/>
    <x v="18"/>
    <d v="2025-01-20T00:00:00"/>
    <x v="3"/>
    <x v="3"/>
    <x v="2"/>
    <x v="0"/>
    <x v="3"/>
    <x v="3"/>
    <x v="3"/>
    <x v="3"/>
  </r>
  <r>
    <s v="TX500418"/>
    <x v="6"/>
    <x v="3"/>
    <n v="43.5"/>
    <n v="304.5"/>
    <x v="18"/>
    <d v="2025-01-20T00:00:00"/>
    <x v="1"/>
    <x v="1"/>
    <x v="2"/>
    <x v="0"/>
    <x v="3"/>
    <x v="3"/>
    <x v="3"/>
    <x v="1"/>
  </r>
  <r>
    <s v="TX500419"/>
    <x v="9"/>
    <x v="10"/>
    <n v="30.5"/>
    <n v="579.5"/>
    <x v="18"/>
    <d v="2025-01-19T00:00:00"/>
    <x v="2"/>
    <x v="3"/>
    <x v="0"/>
    <x v="0"/>
    <x v="3"/>
    <x v="7"/>
    <x v="3"/>
    <x v="2"/>
  </r>
  <r>
    <s v="TX500420"/>
    <x v="1"/>
    <x v="1"/>
    <n v="107.7"/>
    <n v="215.4"/>
    <x v="18"/>
    <d v="2025-01-23T00:00:00"/>
    <x v="1"/>
    <x v="3"/>
    <x v="4"/>
    <x v="0"/>
    <x v="3"/>
    <x v="5"/>
    <x v="3"/>
    <x v="1"/>
  </r>
  <r>
    <s v="TX500421"/>
    <x v="17"/>
    <x v="18"/>
    <n v="57.1"/>
    <n v="1484.6000000000001"/>
    <x v="18"/>
    <d v="2025-01-20T00:00:00"/>
    <x v="1"/>
    <x v="1"/>
    <x v="0"/>
    <x v="0"/>
    <x v="3"/>
    <x v="3"/>
    <x v="3"/>
    <x v="1"/>
  </r>
  <r>
    <s v="TX500422"/>
    <x v="2"/>
    <x v="7"/>
    <n v="111.7"/>
    <n v="1117"/>
    <x v="18"/>
    <d v="2025-01-20T00:00:00"/>
    <x v="2"/>
    <x v="4"/>
    <x v="2"/>
    <x v="0"/>
    <x v="3"/>
    <x v="3"/>
    <x v="3"/>
    <x v="2"/>
  </r>
  <r>
    <s v="TX500423"/>
    <x v="18"/>
    <x v="3"/>
    <n v="44.3"/>
    <n v="310.09999999999997"/>
    <x v="18"/>
    <d v="2025-01-22T00:00:00"/>
    <x v="1"/>
    <x v="3"/>
    <x v="2"/>
    <x v="0"/>
    <x v="3"/>
    <x v="2"/>
    <x v="3"/>
    <x v="1"/>
  </r>
  <r>
    <s v="TX500424"/>
    <x v="2"/>
    <x v="8"/>
    <n v="95.8"/>
    <n v="766.4"/>
    <x v="18"/>
    <d v="2025-01-25T00:00:00"/>
    <x v="3"/>
    <x v="0"/>
    <x v="0"/>
    <x v="0"/>
    <x v="3"/>
    <x v="4"/>
    <x v="3"/>
    <x v="3"/>
  </r>
  <r>
    <s v="TX500425"/>
    <x v="10"/>
    <x v="3"/>
    <n v="22.6"/>
    <n v="158.20000000000002"/>
    <x v="18"/>
    <d v="2025-01-22T00:00:00"/>
    <x v="2"/>
    <x v="3"/>
    <x v="1"/>
    <x v="0"/>
    <x v="3"/>
    <x v="2"/>
    <x v="3"/>
    <x v="2"/>
  </r>
  <r>
    <s v="TX500426"/>
    <x v="8"/>
    <x v="8"/>
    <n v="25.6"/>
    <n v="204.8"/>
    <x v="18"/>
    <d v="2025-01-21T00:00:00"/>
    <x v="2"/>
    <x v="4"/>
    <x v="0"/>
    <x v="0"/>
    <x v="3"/>
    <x v="1"/>
    <x v="3"/>
    <x v="2"/>
  </r>
  <r>
    <s v="TX500427"/>
    <x v="6"/>
    <x v="27"/>
    <n v="54.3"/>
    <n v="868.8"/>
    <x v="18"/>
    <d v="2025-01-22T00:00:00"/>
    <x v="2"/>
    <x v="4"/>
    <x v="0"/>
    <x v="0"/>
    <x v="3"/>
    <x v="2"/>
    <x v="3"/>
    <x v="2"/>
  </r>
  <r>
    <s v="TX500428"/>
    <x v="18"/>
    <x v="15"/>
    <n v="51.3"/>
    <n v="666.9"/>
    <x v="18"/>
    <d v="2025-01-21T00:00:00"/>
    <x v="1"/>
    <x v="0"/>
    <x v="2"/>
    <x v="0"/>
    <x v="3"/>
    <x v="1"/>
    <x v="3"/>
    <x v="1"/>
  </r>
  <r>
    <s v="TX500429"/>
    <x v="0"/>
    <x v="8"/>
    <n v="25.6"/>
    <n v="204.8"/>
    <x v="18"/>
    <d v="2025-01-20T00:00:00"/>
    <x v="2"/>
    <x v="1"/>
    <x v="1"/>
    <x v="0"/>
    <x v="3"/>
    <x v="3"/>
    <x v="3"/>
    <x v="2"/>
  </r>
  <r>
    <s v="TX500430"/>
    <x v="0"/>
    <x v="1"/>
    <n v="15.6"/>
    <n v="31.2"/>
    <x v="18"/>
    <d v="2025-01-20T00:00:00"/>
    <x v="2"/>
    <x v="2"/>
    <x v="2"/>
    <x v="0"/>
    <x v="3"/>
    <x v="3"/>
    <x v="3"/>
    <x v="2"/>
  </r>
  <r>
    <s v="TX500431"/>
    <x v="8"/>
    <x v="2"/>
    <n v="30.3"/>
    <n v="90.9"/>
    <x v="18"/>
    <d v="2025-01-23T00:00:00"/>
    <x v="2"/>
    <x v="0"/>
    <x v="1"/>
    <x v="0"/>
    <x v="3"/>
    <x v="5"/>
    <x v="3"/>
    <x v="2"/>
  </r>
  <r>
    <s v="TX500432"/>
    <x v="12"/>
    <x v="1"/>
    <n v="30.3"/>
    <n v="60.6"/>
    <x v="18"/>
    <d v="2025-01-24T00:00:00"/>
    <x v="2"/>
    <x v="0"/>
    <x v="2"/>
    <x v="0"/>
    <x v="37"/>
    <x v="0"/>
    <x v="3"/>
    <x v="2"/>
  </r>
  <r>
    <s v="TX500433"/>
    <x v="10"/>
    <x v="2"/>
    <n v="53"/>
    <n v="159"/>
    <x v="18"/>
    <d v="2025-01-26T00:00:00"/>
    <x v="2"/>
    <x v="2"/>
    <x v="0"/>
    <x v="0"/>
    <x v="24"/>
    <x v="6"/>
    <x v="3"/>
    <x v="2"/>
  </r>
  <r>
    <s v="TX500434"/>
    <x v="5"/>
    <x v="16"/>
    <n v="59.9"/>
    <n v="1078.2"/>
    <x v="18"/>
    <d v="2025-01-22T00:00:00"/>
    <x v="1"/>
    <x v="2"/>
    <x v="4"/>
    <x v="0"/>
    <x v="25"/>
    <x v="2"/>
    <x v="3"/>
    <x v="1"/>
  </r>
  <r>
    <s v="TX500435"/>
    <x v="9"/>
    <x v="1"/>
    <n v="45.7"/>
    <n v="91.4"/>
    <x v="18"/>
    <d v="2025-01-20T00:00:00"/>
    <x v="2"/>
    <x v="1"/>
    <x v="2"/>
    <x v="0"/>
    <x v="6"/>
    <x v="3"/>
    <x v="3"/>
    <x v="2"/>
  </r>
  <r>
    <s v="TX500436"/>
    <x v="8"/>
    <x v="12"/>
    <n v="46.1"/>
    <n v="184.4"/>
    <x v="18"/>
    <d v="2025-01-20T00:00:00"/>
    <x v="1"/>
    <x v="0"/>
    <x v="0"/>
    <x v="0"/>
    <x v="6"/>
    <x v="3"/>
    <x v="3"/>
    <x v="1"/>
  </r>
  <r>
    <s v="TX500437"/>
    <x v="8"/>
    <x v="2"/>
    <n v="17.5"/>
    <n v="52.5"/>
    <x v="18"/>
    <d v="2025-01-20T00:00:00"/>
    <x v="2"/>
    <x v="0"/>
    <x v="2"/>
    <x v="0"/>
    <x v="8"/>
    <x v="3"/>
    <x v="3"/>
    <x v="2"/>
  </r>
  <r>
    <s v="TX500438"/>
    <x v="10"/>
    <x v="2"/>
    <n v="36.5"/>
    <n v="109.5"/>
    <x v="18"/>
    <d v="2025-01-30T00:00:00"/>
    <x v="1"/>
    <x v="2"/>
    <x v="0"/>
    <x v="0"/>
    <x v="8"/>
    <x v="11"/>
    <x v="3"/>
    <x v="1"/>
  </r>
  <r>
    <s v="TX500439"/>
    <x v="8"/>
    <x v="1"/>
    <n v="47.5"/>
    <n v="95"/>
    <x v="19"/>
    <d v="2025-01-22T00:00:00"/>
    <x v="2"/>
    <x v="1"/>
    <x v="0"/>
    <x v="0"/>
    <x v="8"/>
    <x v="1"/>
    <x v="3"/>
    <x v="2"/>
  </r>
  <r>
    <s v="TX500440"/>
    <x v="6"/>
    <x v="9"/>
    <n v="45.6"/>
    <n v="228"/>
    <x v="19"/>
    <d v="2025-01-22T00:00:00"/>
    <x v="2"/>
    <x v="0"/>
    <x v="2"/>
    <x v="0"/>
    <x v="8"/>
    <x v="1"/>
    <x v="3"/>
    <x v="2"/>
  </r>
  <r>
    <s v="TX500441"/>
    <x v="9"/>
    <x v="1"/>
    <n v="50.5"/>
    <n v="101"/>
    <x v="19"/>
    <d v="2025-01-22T00:00:00"/>
    <x v="1"/>
    <x v="0"/>
    <x v="1"/>
    <x v="0"/>
    <x v="17"/>
    <x v="1"/>
    <x v="3"/>
    <x v="1"/>
  </r>
  <r>
    <s v="TX500442"/>
    <x v="2"/>
    <x v="7"/>
    <n v="99.8"/>
    <n v="998"/>
    <x v="19"/>
    <d v="2025-01-23T00:00:00"/>
    <x v="2"/>
    <x v="2"/>
    <x v="1"/>
    <x v="0"/>
    <x v="17"/>
    <x v="2"/>
    <x v="3"/>
    <x v="2"/>
  </r>
  <r>
    <s v="TX500443"/>
    <x v="8"/>
    <x v="20"/>
    <n v="19.2"/>
    <n v="288"/>
    <x v="19"/>
    <d v="2025-01-22T00:00:00"/>
    <x v="3"/>
    <x v="4"/>
    <x v="1"/>
    <x v="0"/>
    <x v="26"/>
    <x v="1"/>
    <x v="3"/>
    <x v="3"/>
  </r>
  <r>
    <s v="TX500444"/>
    <x v="17"/>
    <x v="2"/>
    <n v="22.6"/>
    <n v="67.800000000000011"/>
    <x v="19"/>
    <d v="2025-01-21T00:00:00"/>
    <x v="1"/>
    <x v="1"/>
    <x v="0"/>
    <x v="0"/>
    <x v="11"/>
    <x v="3"/>
    <x v="3"/>
    <x v="1"/>
  </r>
  <r>
    <s v="TX500445"/>
    <x v="1"/>
    <x v="20"/>
    <n v="126.9"/>
    <n v="1903.5"/>
    <x v="19"/>
    <d v="2025-01-22T00:00:00"/>
    <x v="2"/>
    <x v="0"/>
    <x v="2"/>
    <x v="0"/>
    <x v="11"/>
    <x v="1"/>
    <x v="3"/>
    <x v="2"/>
  </r>
  <r>
    <s v="TX500446"/>
    <x v="2"/>
    <x v="1"/>
    <n v="100.3"/>
    <n v="200.6"/>
    <x v="19"/>
    <d v="2025-01-21T00:00:00"/>
    <x v="2"/>
    <x v="0"/>
    <x v="1"/>
    <x v="0"/>
    <x v="11"/>
    <x v="3"/>
    <x v="3"/>
    <x v="2"/>
  </r>
  <r>
    <s v="TX500447"/>
    <x v="4"/>
    <x v="16"/>
    <n v="24.6"/>
    <n v="442.8"/>
    <x v="19"/>
    <d v="2025-01-21T00:00:00"/>
    <x v="2"/>
    <x v="4"/>
    <x v="0"/>
    <x v="0"/>
    <x v="13"/>
    <x v="3"/>
    <x v="3"/>
    <x v="2"/>
  </r>
  <r>
    <s v="TX500448"/>
    <x v="6"/>
    <x v="1"/>
    <n v="47.3"/>
    <n v="94.6"/>
    <x v="19"/>
    <d v="2025-01-21T00:00:00"/>
    <x v="1"/>
    <x v="1"/>
    <x v="2"/>
    <x v="0"/>
    <x v="13"/>
    <x v="3"/>
    <x v="3"/>
    <x v="1"/>
  </r>
  <r>
    <s v="TX500449"/>
    <x v="6"/>
    <x v="3"/>
    <n v="40.799999999999997"/>
    <n v="285.59999999999997"/>
    <x v="19"/>
    <d v="2025-01-23T00:00:00"/>
    <x v="2"/>
    <x v="2"/>
    <x v="2"/>
    <x v="0"/>
    <x v="21"/>
    <x v="2"/>
    <x v="3"/>
    <x v="2"/>
  </r>
  <r>
    <s v="TX500450"/>
    <x v="8"/>
    <x v="8"/>
    <n v="49.2"/>
    <n v="393.6"/>
    <x v="19"/>
    <d v="2025-01-22T00:00:00"/>
    <x v="2"/>
    <x v="0"/>
    <x v="0"/>
    <x v="0"/>
    <x v="1"/>
    <x v="1"/>
    <x v="3"/>
    <x v="2"/>
  </r>
  <r>
    <s v="TX500451"/>
    <x v="8"/>
    <x v="0"/>
    <n v="28.5"/>
    <n v="28.5"/>
    <x v="19"/>
    <d v="2025-01-22T00:00:00"/>
    <x v="0"/>
    <x v="2"/>
    <x v="1"/>
    <x v="0"/>
    <x v="3"/>
    <x v="1"/>
    <x v="3"/>
    <x v="0"/>
  </r>
  <r>
    <s v="TX500452"/>
    <x v="18"/>
    <x v="1"/>
    <n v="36.799999999999997"/>
    <n v="73.599999999999994"/>
    <x v="19"/>
    <d v="2025-01-26T00:00:00"/>
    <x v="2"/>
    <x v="0"/>
    <x v="2"/>
    <x v="0"/>
    <x v="3"/>
    <x v="4"/>
    <x v="3"/>
    <x v="2"/>
  </r>
  <r>
    <s v="TX500453"/>
    <x v="7"/>
    <x v="2"/>
    <n v="33.5"/>
    <n v="100.5"/>
    <x v="19"/>
    <d v="2025-01-21T00:00:00"/>
    <x v="2"/>
    <x v="0"/>
    <x v="1"/>
    <x v="0"/>
    <x v="3"/>
    <x v="3"/>
    <x v="3"/>
    <x v="2"/>
  </r>
  <r>
    <s v="TX500454"/>
    <x v="6"/>
    <x v="13"/>
    <n v="62.5"/>
    <n v="375"/>
    <x v="19"/>
    <d v="2025-01-22T00:00:00"/>
    <x v="2"/>
    <x v="0"/>
    <x v="0"/>
    <x v="0"/>
    <x v="3"/>
    <x v="1"/>
    <x v="3"/>
    <x v="2"/>
  </r>
  <r>
    <s v="TX500455"/>
    <x v="8"/>
    <x v="29"/>
    <n v="47.9"/>
    <n v="1916"/>
    <x v="19"/>
    <d v="2025-01-21T00:00:00"/>
    <x v="2"/>
    <x v="3"/>
    <x v="0"/>
    <x v="0"/>
    <x v="3"/>
    <x v="3"/>
    <x v="3"/>
    <x v="2"/>
  </r>
  <r>
    <s v="TX500456"/>
    <x v="6"/>
    <x v="13"/>
    <n v="92.9"/>
    <n v="557.40000000000009"/>
    <x v="19"/>
    <d v="2025-01-31T00:00:00"/>
    <x v="2"/>
    <x v="0"/>
    <x v="4"/>
    <x v="0"/>
    <x v="3"/>
    <x v="11"/>
    <x v="3"/>
    <x v="2"/>
  </r>
  <r>
    <s v="TX500457"/>
    <x v="12"/>
    <x v="2"/>
    <n v="44.1"/>
    <n v="132.30000000000001"/>
    <x v="19"/>
    <d v="2025-01-20T00:00:00"/>
    <x v="2"/>
    <x v="1"/>
    <x v="1"/>
    <x v="0"/>
    <x v="43"/>
    <x v="7"/>
    <x v="3"/>
    <x v="2"/>
  </r>
  <r>
    <s v="TX500458"/>
    <x v="0"/>
    <x v="0"/>
    <n v="11.4"/>
    <n v="11.4"/>
    <x v="20"/>
    <d v="2025-01-23T00:00:00"/>
    <x v="2"/>
    <x v="2"/>
    <x v="0"/>
    <x v="0"/>
    <x v="5"/>
    <x v="1"/>
    <x v="3"/>
    <x v="2"/>
  </r>
  <r>
    <s v="TX500459"/>
    <x v="6"/>
    <x v="0"/>
    <n v="83.7"/>
    <n v="83.7"/>
    <x v="20"/>
    <d v="2025-01-23T00:00:00"/>
    <x v="2"/>
    <x v="0"/>
    <x v="2"/>
    <x v="0"/>
    <x v="6"/>
    <x v="1"/>
    <x v="3"/>
    <x v="2"/>
  </r>
  <r>
    <s v="TX500460"/>
    <x v="10"/>
    <x v="1"/>
    <n v="23.2"/>
    <n v="46.4"/>
    <x v="20"/>
    <d v="2025-01-22T00:00:00"/>
    <x v="1"/>
    <x v="2"/>
    <x v="0"/>
    <x v="0"/>
    <x v="8"/>
    <x v="3"/>
    <x v="3"/>
    <x v="1"/>
  </r>
  <r>
    <s v="TX500461"/>
    <x v="2"/>
    <x v="0"/>
    <n v="162.1"/>
    <n v="162.1"/>
    <x v="20"/>
    <d v="2025-01-24T00:00:00"/>
    <x v="2"/>
    <x v="0"/>
    <x v="2"/>
    <x v="0"/>
    <x v="9"/>
    <x v="2"/>
    <x v="3"/>
    <x v="2"/>
  </r>
  <r>
    <s v="TX500462"/>
    <x v="6"/>
    <x v="12"/>
    <n v="49.2"/>
    <n v="196.8"/>
    <x v="20"/>
    <d v="2025-01-25T00:00:00"/>
    <x v="1"/>
    <x v="1"/>
    <x v="0"/>
    <x v="0"/>
    <x v="9"/>
    <x v="5"/>
    <x v="3"/>
    <x v="1"/>
  </r>
  <r>
    <s v="TX500463"/>
    <x v="1"/>
    <x v="1"/>
    <n v="61"/>
    <n v="122"/>
    <x v="20"/>
    <d v="2025-01-22T00:00:00"/>
    <x v="1"/>
    <x v="3"/>
    <x v="0"/>
    <x v="0"/>
    <x v="10"/>
    <x v="3"/>
    <x v="3"/>
    <x v="1"/>
  </r>
  <r>
    <s v="TX500464"/>
    <x v="2"/>
    <x v="7"/>
    <n v="53.1"/>
    <n v="531"/>
    <x v="20"/>
    <d v="2025-01-23T00:00:00"/>
    <x v="1"/>
    <x v="0"/>
    <x v="0"/>
    <x v="0"/>
    <x v="11"/>
    <x v="1"/>
    <x v="3"/>
    <x v="1"/>
  </r>
  <r>
    <s v="TX500465"/>
    <x v="4"/>
    <x v="1"/>
    <n v="22.4"/>
    <n v="44.8"/>
    <x v="20"/>
    <d v="2025-01-23T00:00:00"/>
    <x v="0"/>
    <x v="1"/>
    <x v="2"/>
    <x v="0"/>
    <x v="13"/>
    <x v="1"/>
    <x v="3"/>
    <x v="0"/>
  </r>
  <r>
    <s v="TX500466"/>
    <x v="1"/>
    <x v="9"/>
    <n v="75.3"/>
    <n v="376.5"/>
    <x v="20"/>
    <d v="2025-01-22T00:00:00"/>
    <x v="1"/>
    <x v="0"/>
    <x v="0"/>
    <x v="0"/>
    <x v="21"/>
    <x v="3"/>
    <x v="3"/>
    <x v="1"/>
  </r>
  <r>
    <s v="TX500467"/>
    <x v="6"/>
    <x v="0"/>
    <n v="48.5"/>
    <n v="48.5"/>
    <x v="20"/>
    <d v="2025-01-22T00:00:00"/>
    <x v="2"/>
    <x v="0"/>
    <x v="1"/>
    <x v="0"/>
    <x v="21"/>
    <x v="3"/>
    <x v="3"/>
    <x v="2"/>
  </r>
  <r>
    <s v="TX500468"/>
    <x v="6"/>
    <x v="0"/>
    <n v="42.6"/>
    <n v="42.6"/>
    <x v="20"/>
    <d v="2025-01-25T00:00:00"/>
    <x v="2"/>
    <x v="3"/>
    <x v="0"/>
    <x v="0"/>
    <x v="1"/>
    <x v="5"/>
    <x v="3"/>
    <x v="2"/>
  </r>
  <r>
    <s v="TX500469"/>
    <x v="5"/>
    <x v="9"/>
    <n v="49"/>
    <n v="245"/>
    <x v="20"/>
    <d v="2025-01-22T00:00:00"/>
    <x v="1"/>
    <x v="0"/>
    <x v="0"/>
    <x v="0"/>
    <x v="22"/>
    <x v="3"/>
    <x v="3"/>
    <x v="1"/>
  </r>
  <r>
    <s v="TX500470"/>
    <x v="8"/>
    <x v="2"/>
    <n v="31.3"/>
    <n v="93.9"/>
    <x v="20"/>
    <d v="2025-01-22T00:00:00"/>
    <x v="1"/>
    <x v="2"/>
    <x v="1"/>
    <x v="0"/>
    <x v="3"/>
    <x v="3"/>
    <x v="3"/>
    <x v="1"/>
  </r>
  <r>
    <s v="TX500471"/>
    <x v="2"/>
    <x v="1"/>
    <n v="85.4"/>
    <n v="170.8"/>
    <x v="20"/>
    <d v="2025-01-22T00:00:00"/>
    <x v="2"/>
    <x v="2"/>
    <x v="0"/>
    <x v="0"/>
    <x v="3"/>
    <x v="3"/>
    <x v="3"/>
    <x v="2"/>
  </r>
  <r>
    <s v="TX500472"/>
    <x v="8"/>
    <x v="12"/>
    <n v="40"/>
    <n v="160"/>
    <x v="20"/>
    <d v="2025-01-22T00:00:00"/>
    <x v="3"/>
    <x v="0"/>
    <x v="2"/>
    <x v="0"/>
    <x v="3"/>
    <x v="3"/>
    <x v="3"/>
    <x v="3"/>
  </r>
  <r>
    <s v="TX500473"/>
    <x v="5"/>
    <x v="1"/>
    <n v="38.5"/>
    <n v="77"/>
    <x v="20"/>
    <d v="2025-01-24T00:00:00"/>
    <x v="1"/>
    <x v="1"/>
    <x v="2"/>
    <x v="0"/>
    <x v="3"/>
    <x v="2"/>
    <x v="3"/>
    <x v="1"/>
  </r>
  <r>
    <s v="TX500474"/>
    <x v="2"/>
    <x v="1"/>
    <n v="57.8"/>
    <n v="115.6"/>
    <x v="20"/>
    <d v="2025-01-22T00:00:00"/>
    <x v="0"/>
    <x v="0"/>
    <x v="0"/>
    <x v="0"/>
    <x v="3"/>
    <x v="3"/>
    <x v="3"/>
    <x v="0"/>
  </r>
  <r>
    <s v="TX500475"/>
    <x v="8"/>
    <x v="0"/>
    <n v="19.2"/>
    <n v="19.2"/>
    <x v="20"/>
    <d v="2025-01-22T00:00:00"/>
    <x v="2"/>
    <x v="0"/>
    <x v="4"/>
    <x v="0"/>
    <x v="3"/>
    <x v="3"/>
    <x v="3"/>
    <x v="2"/>
  </r>
  <r>
    <s v="TX500476"/>
    <x v="6"/>
    <x v="13"/>
    <n v="114.8"/>
    <n v="688.8"/>
    <x v="20"/>
    <d v="2025-01-24T00:00:00"/>
    <x v="1"/>
    <x v="1"/>
    <x v="1"/>
    <x v="0"/>
    <x v="3"/>
    <x v="2"/>
    <x v="3"/>
    <x v="1"/>
  </r>
  <r>
    <s v="TX500477"/>
    <x v="10"/>
    <x v="3"/>
    <n v="48.4"/>
    <n v="338.8"/>
    <x v="20"/>
    <d v="2025-01-24T00:00:00"/>
    <x v="2"/>
    <x v="3"/>
    <x v="1"/>
    <x v="0"/>
    <x v="3"/>
    <x v="2"/>
    <x v="3"/>
    <x v="2"/>
  </r>
  <r>
    <s v="TX500478"/>
    <x v="9"/>
    <x v="9"/>
    <n v="73.2"/>
    <n v="366"/>
    <x v="20"/>
    <d v="2025-01-22T00:00:00"/>
    <x v="2"/>
    <x v="1"/>
    <x v="4"/>
    <x v="0"/>
    <x v="3"/>
    <x v="3"/>
    <x v="3"/>
    <x v="2"/>
  </r>
  <r>
    <s v="TX500479"/>
    <x v="15"/>
    <x v="1"/>
    <n v="48.6"/>
    <n v="97.2"/>
    <x v="20"/>
    <d v="2025-01-25T00:00:00"/>
    <x v="2"/>
    <x v="3"/>
    <x v="0"/>
    <x v="0"/>
    <x v="3"/>
    <x v="5"/>
    <x v="3"/>
    <x v="2"/>
  </r>
  <r>
    <s v="TX500480"/>
    <x v="0"/>
    <x v="13"/>
    <n v="48.7"/>
    <n v="292.20000000000005"/>
    <x v="20"/>
    <d v="2025-01-22T00:00:00"/>
    <x v="1"/>
    <x v="0"/>
    <x v="0"/>
    <x v="0"/>
    <x v="3"/>
    <x v="3"/>
    <x v="3"/>
    <x v="1"/>
  </r>
  <r>
    <s v="TX500481"/>
    <x v="4"/>
    <x v="1"/>
    <n v="32.200000000000003"/>
    <n v="64.400000000000006"/>
    <x v="20"/>
    <d v="2025-01-24T00:00:00"/>
    <x v="1"/>
    <x v="2"/>
    <x v="2"/>
    <x v="0"/>
    <x v="3"/>
    <x v="2"/>
    <x v="3"/>
    <x v="1"/>
  </r>
  <r>
    <s v="TX500482"/>
    <x v="15"/>
    <x v="8"/>
    <n v="25.8"/>
    <n v="206.4"/>
    <x v="20"/>
    <d v="2025-01-22T00:00:00"/>
    <x v="1"/>
    <x v="0"/>
    <x v="0"/>
    <x v="0"/>
    <x v="37"/>
    <x v="3"/>
    <x v="3"/>
    <x v="1"/>
  </r>
  <r>
    <s v="TX500483"/>
    <x v="6"/>
    <x v="1"/>
    <n v="94.8"/>
    <n v="189.6"/>
    <x v="21"/>
    <d v="2025-01-25T00:00:00"/>
    <x v="2"/>
    <x v="1"/>
    <x v="1"/>
    <x v="0"/>
    <x v="25"/>
    <x v="2"/>
    <x v="3"/>
    <x v="2"/>
  </r>
  <r>
    <s v="TX500484"/>
    <x v="15"/>
    <x v="30"/>
    <n v="56.8"/>
    <n v="1420"/>
    <x v="21"/>
    <d v="2025-01-25T00:00:00"/>
    <x v="1"/>
    <x v="0"/>
    <x v="0"/>
    <x v="0"/>
    <x v="25"/>
    <x v="2"/>
    <x v="3"/>
    <x v="1"/>
  </r>
  <r>
    <s v="TX500485"/>
    <x v="8"/>
    <x v="27"/>
    <n v="18.3"/>
    <n v="292.8"/>
    <x v="21"/>
    <d v="2025-01-29T00:00:00"/>
    <x v="2"/>
    <x v="2"/>
    <x v="2"/>
    <x v="0"/>
    <x v="23"/>
    <x v="6"/>
    <x v="3"/>
    <x v="2"/>
  </r>
  <r>
    <s v="TX500486"/>
    <x v="0"/>
    <x v="2"/>
    <n v="16.8"/>
    <n v="50.400000000000006"/>
    <x v="21"/>
    <d v="2025-01-27T00:00:00"/>
    <x v="2"/>
    <x v="2"/>
    <x v="2"/>
    <x v="0"/>
    <x v="8"/>
    <x v="0"/>
    <x v="3"/>
    <x v="2"/>
  </r>
  <r>
    <s v="TX500487"/>
    <x v="5"/>
    <x v="5"/>
    <n v="35.799999999999997"/>
    <n v="393.79999999999995"/>
    <x v="21"/>
    <d v="2025-01-23T00:00:00"/>
    <x v="1"/>
    <x v="1"/>
    <x v="0"/>
    <x v="0"/>
    <x v="17"/>
    <x v="3"/>
    <x v="3"/>
    <x v="1"/>
  </r>
  <r>
    <s v="TX500488"/>
    <x v="18"/>
    <x v="0"/>
    <n v="64.900000000000006"/>
    <n v="64.900000000000006"/>
    <x v="21"/>
    <d v="2025-01-23T00:00:00"/>
    <x v="1"/>
    <x v="0"/>
    <x v="1"/>
    <x v="0"/>
    <x v="17"/>
    <x v="3"/>
    <x v="3"/>
    <x v="1"/>
  </r>
  <r>
    <s v="TX500489"/>
    <x v="18"/>
    <x v="0"/>
    <n v="28.5"/>
    <n v="28.5"/>
    <x v="21"/>
    <d v="2025-01-24T00:00:00"/>
    <x v="0"/>
    <x v="1"/>
    <x v="0"/>
    <x v="0"/>
    <x v="9"/>
    <x v="1"/>
    <x v="3"/>
    <x v="0"/>
  </r>
  <r>
    <s v="TX500490"/>
    <x v="18"/>
    <x v="1"/>
    <n v="103.5"/>
    <n v="207"/>
    <x v="21"/>
    <d v="2025-01-24T00:00:00"/>
    <x v="2"/>
    <x v="1"/>
    <x v="0"/>
    <x v="0"/>
    <x v="10"/>
    <x v="1"/>
    <x v="3"/>
    <x v="2"/>
  </r>
  <r>
    <s v="TX500491"/>
    <x v="4"/>
    <x v="1"/>
    <n v="41.2"/>
    <n v="82.4"/>
    <x v="21"/>
    <d v="2025-01-23T00:00:00"/>
    <x v="2"/>
    <x v="1"/>
    <x v="0"/>
    <x v="0"/>
    <x v="10"/>
    <x v="3"/>
    <x v="3"/>
    <x v="2"/>
  </r>
  <r>
    <s v="TX500492"/>
    <x v="9"/>
    <x v="0"/>
    <n v="37.799999999999997"/>
    <n v="37.799999999999997"/>
    <x v="21"/>
    <d v="2025-01-24T00:00:00"/>
    <x v="2"/>
    <x v="3"/>
    <x v="3"/>
    <x v="0"/>
    <x v="11"/>
    <x v="1"/>
    <x v="3"/>
    <x v="2"/>
  </r>
  <r>
    <s v="TX500493"/>
    <x v="8"/>
    <x v="1"/>
    <n v="42.6"/>
    <n v="85.2"/>
    <x v="21"/>
    <d v="2025-01-24T00:00:00"/>
    <x v="2"/>
    <x v="4"/>
    <x v="0"/>
    <x v="0"/>
    <x v="11"/>
    <x v="1"/>
    <x v="3"/>
    <x v="2"/>
  </r>
  <r>
    <s v="TX500494"/>
    <x v="8"/>
    <x v="7"/>
    <n v="15.2"/>
    <n v="152"/>
    <x v="21"/>
    <d v="2025-01-24T00:00:00"/>
    <x v="2"/>
    <x v="2"/>
    <x v="0"/>
    <x v="0"/>
    <x v="11"/>
    <x v="1"/>
    <x v="3"/>
    <x v="2"/>
  </r>
  <r>
    <s v="TX500495"/>
    <x v="7"/>
    <x v="12"/>
    <n v="83.4"/>
    <n v="333.6"/>
    <x v="21"/>
    <d v="2025-01-23T00:00:00"/>
    <x v="2"/>
    <x v="2"/>
    <x v="1"/>
    <x v="0"/>
    <x v="18"/>
    <x v="3"/>
    <x v="3"/>
    <x v="2"/>
  </r>
  <r>
    <s v="TX500496"/>
    <x v="19"/>
    <x v="1"/>
    <n v="27.7"/>
    <n v="55.4"/>
    <x v="21"/>
    <d v="2025-01-23T00:00:00"/>
    <x v="2"/>
    <x v="0"/>
    <x v="1"/>
    <x v="0"/>
    <x v="13"/>
    <x v="3"/>
    <x v="3"/>
    <x v="2"/>
  </r>
  <r>
    <s v="TX500497"/>
    <x v="10"/>
    <x v="4"/>
    <n v="20.8"/>
    <n v="249.60000000000002"/>
    <x v="21"/>
    <d v="2025-01-23T00:00:00"/>
    <x v="1"/>
    <x v="3"/>
    <x v="0"/>
    <x v="0"/>
    <x v="13"/>
    <x v="3"/>
    <x v="3"/>
    <x v="1"/>
  </r>
  <r>
    <s v="TX500498"/>
    <x v="11"/>
    <x v="1"/>
    <n v="72.7"/>
    <n v="145.4"/>
    <x v="21"/>
    <d v="2025-01-26T00:00:00"/>
    <x v="2"/>
    <x v="4"/>
    <x v="2"/>
    <x v="0"/>
    <x v="44"/>
    <x v="5"/>
    <x v="3"/>
    <x v="2"/>
  </r>
  <r>
    <s v="TX500499"/>
    <x v="10"/>
    <x v="12"/>
    <n v="38.6"/>
    <n v="154.4"/>
    <x v="21"/>
    <d v="2025-01-23T00:00:00"/>
    <x v="1"/>
    <x v="0"/>
    <x v="2"/>
    <x v="0"/>
    <x v="22"/>
    <x v="3"/>
    <x v="3"/>
    <x v="1"/>
  </r>
  <r>
    <s v="TX500500"/>
    <x v="8"/>
    <x v="3"/>
    <n v="33.1"/>
    <n v="231.70000000000002"/>
    <x v="21"/>
    <d v="2025-01-23T00:00:00"/>
    <x v="3"/>
    <x v="4"/>
    <x v="3"/>
    <x v="0"/>
    <x v="3"/>
    <x v="3"/>
    <x v="3"/>
    <x v="3"/>
  </r>
  <r>
    <s v="TX500501"/>
    <x v="10"/>
    <x v="1"/>
    <n v="30.5"/>
    <n v="61"/>
    <x v="21"/>
    <d v="2025-01-22T00:00:00"/>
    <x v="0"/>
    <x v="1"/>
    <x v="1"/>
    <x v="0"/>
    <x v="3"/>
    <x v="7"/>
    <x v="3"/>
    <x v="0"/>
  </r>
  <r>
    <s v="TX500502"/>
    <x v="9"/>
    <x v="1"/>
    <n v="69.599999999999994"/>
    <n v="139.19999999999999"/>
    <x v="21"/>
    <d v="2025-01-23T00:00:00"/>
    <x v="1"/>
    <x v="0"/>
    <x v="1"/>
    <x v="0"/>
    <x v="3"/>
    <x v="3"/>
    <x v="3"/>
    <x v="1"/>
  </r>
  <r>
    <s v="TX500503"/>
    <x v="11"/>
    <x v="0"/>
    <n v="42.4"/>
    <n v="42.4"/>
    <x v="21"/>
    <d v="2025-01-26T00:00:00"/>
    <x v="2"/>
    <x v="1"/>
    <x v="0"/>
    <x v="0"/>
    <x v="3"/>
    <x v="5"/>
    <x v="3"/>
    <x v="2"/>
  </r>
  <r>
    <s v="TX500504"/>
    <x v="17"/>
    <x v="0"/>
    <n v="32.200000000000003"/>
    <n v="32.200000000000003"/>
    <x v="21"/>
    <d v="2025-01-25T00:00:00"/>
    <x v="2"/>
    <x v="2"/>
    <x v="1"/>
    <x v="0"/>
    <x v="3"/>
    <x v="2"/>
    <x v="3"/>
    <x v="2"/>
  </r>
  <r>
    <s v="TX500505"/>
    <x v="6"/>
    <x v="1"/>
    <n v="41.5"/>
    <n v="83"/>
    <x v="21"/>
    <d v="2025-01-25T00:00:00"/>
    <x v="2"/>
    <x v="0"/>
    <x v="2"/>
    <x v="0"/>
    <x v="3"/>
    <x v="2"/>
    <x v="3"/>
    <x v="2"/>
  </r>
  <r>
    <s v="TX500506"/>
    <x v="16"/>
    <x v="11"/>
    <n v="58.9"/>
    <n v="530.1"/>
    <x v="21"/>
    <d v="2025-01-26T00:00:00"/>
    <x v="2"/>
    <x v="3"/>
    <x v="0"/>
    <x v="0"/>
    <x v="3"/>
    <x v="5"/>
    <x v="3"/>
    <x v="2"/>
  </r>
  <r>
    <s v="TX500507"/>
    <x v="2"/>
    <x v="0"/>
    <n v="57.1"/>
    <n v="57.1"/>
    <x v="21"/>
    <d v="2025-01-25T00:00:00"/>
    <x v="2"/>
    <x v="1"/>
    <x v="0"/>
    <x v="0"/>
    <x v="3"/>
    <x v="2"/>
    <x v="3"/>
    <x v="2"/>
  </r>
  <r>
    <s v="TX500508"/>
    <x v="6"/>
    <x v="0"/>
    <n v="57.2"/>
    <n v="57.2"/>
    <x v="21"/>
    <d v="2025-01-24T00:00:00"/>
    <x v="1"/>
    <x v="1"/>
    <x v="0"/>
    <x v="0"/>
    <x v="3"/>
    <x v="1"/>
    <x v="3"/>
    <x v="1"/>
  </r>
  <r>
    <s v="TX500509"/>
    <x v="8"/>
    <x v="1"/>
    <n v="35.1"/>
    <n v="70.2"/>
    <x v="21"/>
    <d v="2025-01-23T00:00:00"/>
    <x v="1"/>
    <x v="1"/>
    <x v="0"/>
    <x v="0"/>
    <x v="6"/>
    <x v="3"/>
    <x v="3"/>
    <x v="1"/>
  </r>
  <r>
    <s v="TX500510"/>
    <x v="1"/>
    <x v="0"/>
    <n v="52.1"/>
    <n v="52.1"/>
    <x v="21"/>
    <d v="2025-01-24T00:00:00"/>
    <x v="2"/>
    <x v="4"/>
    <x v="1"/>
    <x v="0"/>
    <x v="8"/>
    <x v="1"/>
    <x v="3"/>
    <x v="2"/>
  </r>
  <r>
    <s v="TX500511"/>
    <x v="13"/>
    <x v="2"/>
    <n v="59.8"/>
    <n v="179.39999999999998"/>
    <x v="21"/>
    <d v="2025-01-24T00:00:00"/>
    <x v="2"/>
    <x v="4"/>
    <x v="1"/>
    <x v="0"/>
    <x v="8"/>
    <x v="1"/>
    <x v="3"/>
    <x v="2"/>
  </r>
  <r>
    <s v="TX500512"/>
    <x v="3"/>
    <x v="12"/>
    <n v="83.3"/>
    <n v="333.2"/>
    <x v="21"/>
    <d v="2025-01-22T00:00:00"/>
    <x v="0"/>
    <x v="2"/>
    <x v="0"/>
    <x v="0"/>
    <x v="8"/>
    <x v="7"/>
    <x v="3"/>
    <x v="0"/>
  </r>
  <r>
    <s v="TX500513"/>
    <x v="15"/>
    <x v="4"/>
    <n v="41.3"/>
    <n v="495.59999999999997"/>
    <x v="21"/>
    <d v="2025-01-23T00:00:00"/>
    <x v="2"/>
    <x v="1"/>
    <x v="0"/>
    <x v="0"/>
    <x v="8"/>
    <x v="3"/>
    <x v="3"/>
    <x v="2"/>
  </r>
  <r>
    <s v="TX500514"/>
    <x v="8"/>
    <x v="9"/>
    <n v="16"/>
    <n v="80"/>
    <x v="21"/>
    <d v="2025-01-24T00:00:00"/>
    <x v="1"/>
    <x v="4"/>
    <x v="1"/>
    <x v="0"/>
    <x v="9"/>
    <x v="1"/>
    <x v="3"/>
    <x v="1"/>
  </r>
  <r>
    <s v="TX500515"/>
    <x v="10"/>
    <x v="1"/>
    <n v="20.8"/>
    <n v="41.6"/>
    <x v="22"/>
    <d v="2025-01-25T00:00:00"/>
    <x v="1"/>
    <x v="0"/>
    <x v="2"/>
    <x v="0"/>
    <x v="11"/>
    <x v="1"/>
    <x v="3"/>
    <x v="1"/>
  </r>
  <r>
    <s v="TX500516"/>
    <x v="8"/>
    <x v="31"/>
    <n v="27.1"/>
    <n v="758.80000000000007"/>
    <x v="22"/>
    <d v="2025-01-24T00:00:00"/>
    <x v="0"/>
    <x v="3"/>
    <x v="2"/>
    <x v="0"/>
    <x v="11"/>
    <x v="3"/>
    <x v="3"/>
    <x v="0"/>
  </r>
  <r>
    <s v="TX500517"/>
    <x v="10"/>
    <x v="1"/>
    <n v="38.9"/>
    <n v="77.8"/>
    <x v="22"/>
    <d v="2025-01-25T00:00:00"/>
    <x v="2"/>
    <x v="0"/>
    <x v="0"/>
    <x v="0"/>
    <x v="18"/>
    <x v="1"/>
    <x v="3"/>
    <x v="2"/>
  </r>
  <r>
    <s v="TX500518"/>
    <x v="0"/>
    <x v="1"/>
    <n v="10.8"/>
    <n v="21.6"/>
    <x v="22"/>
    <d v="2025-01-26T00:00:00"/>
    <x v="2"/>
    <x v="1"/>
    <x v="2"/>
    <x v="0"/>
    <x v="45"/>
    <x v="2"/>
    <x v="3"/>
    <x v="2"/>
  </r>
  <r>
    <s v="TX500519"/>
    <x v="4"/>
    <x v="15"/>
    <n v="48.4"/>
    <n v="629.19999999999993"/>
    <x v="22"/>
    <d v="2025-01-27T00:00:00"/>
    <x v="2"/>
    <x v="0"/>
    <x v="0"/>
    <x v="0"/>
    <x v="21"/>
    <x v="5"/>
    <x v="3"/>
    <x v="2"/>
  </r>
  <r>
    <s v="TX500520"/>
    <x v="4"/>
    <x v="2"/>
    <n v="29.2"/>
    <n v="87.6"/>
    <x v="22"/>
    <d v="2025-01-26T00:00:00"/>
    <x v="2"/>
    <x v="1"/>
    <x v="1"/>
    <x v="0"/>
    <x v="2"/>
    <x v="2"/>
    <x v="3"/>
    <x v="2"/>
  </r>
  <r>
    <s v="TX500521"/>
    <x v="4"/>
    <x v="1"/>
    <n v="25.1"/>
    <n v="50.2"/>
    <x v="22"/>
    <d v="2025-01-24T00:00:00"/>
    <x v="1"/>
    <x v="0"/>
    <x v="1"/>
    <x v="0"/>
    <x v="2"/>
    <x v="3"/>
    <x v="3"/>
    <x v="1"/>
  </r>
  <r>
    <s v="TX500522"/>
    <x v="7"/>
    <x v="2"/>
    <n v="65.599999999999994"/>
    <n v="196.79999999999998"/>
    <x v="22"/>
    <d v="2025-01-23T00:00:00"/>
    <x v="2"/>
    <x v="2"/>
    <x v="1"/>
    <x v="0"/>
    <x v="3"/>
    <x v="7"/>
    <x v="3"/>
    <x v="2"/>
  </r>
  <r>
    <s v="TX500523"/>
    <x v="2"/>
    <x v="1"/>
    <n v="57.3"/>
    <n v="114.6"/>
    <x v="22"/>
    <d v="2025-01-23T00:00:00"/>
    <x v="0"/>
    <x v="0"/>
    <x v="0"/>
    <x v="0"/>
    <x v="3"/>
    <x v="7"/>
    <x v="3"/>
    <x v="0"/>
  </r>
  <r>
    <s v="TX500524"/>
    <x v="9"/>
    <x v="12"/>
    <n v="22.4"/>
    <n v="89.6"/>
    <x v="22"/>
    <d v="2025-01-24T00:00:00"/>
    <x v="2"/>
    <x v="2"/>
    <x v="2"/>
    <x v="0"/>
    <x v="3"/>
    <x v="3"/>
    <x v="3"/>
    <x v="2"/>
  </r>
  <r>
    <s v="TX500525"/>
    <x v="12"/>
    <x v="11"/>
    <n v="45.7"/>
    <n v="411.3"/>
    <x v="22"/>
    <d v="2025-01-24T00:00:00"/>
    <x v="2"/>
    <x v="0"/>
    <x v="0"/>
    <x v="0"/>
    <x v="3"/>
    <x v="3"/>
    <x v="3"/>
    <x v="2"/>
  </r>
  <r>
    <s v="TX500526"/>
    <x v="8"/>
    <x v="1"/>
    <n v="29.3"/>
    <n v="58.6"/>
    <x v="22"/>
    <d v="2025-01-24T00:00:00"/>
    <x v="1"/>
    <x v="1"/>
    <x v="0"/>
    <x v="0"/>
    <x v="3"/>
    <x v="3"/>
    <x v="3"/>
    <x v="1"/>
  </r>
  <r>
    <s v="TX500527"/>
    <x v="18"/>
    <x v="32"/>
    <n v="74"/>
    <n v="1628"/>
    <x v="22"/>
    <d v="2025-01-24T00:00:00"/>
    <x v="1"/>
    <x v="0"/>
    <x v="2"/>
    <x v="0"/>
    <x v="3"/>
    <x v="3"/>
    <x v="3"/>
    <x v="1"/>
  </r>
  <r>
    <s v="TX500528"/>
    <x v="14"/>
    <x v="1"/>
    <n v="39.200000000000003"/>
    <n v="78.400000000000006"/>
    <x v="22"/>
    <d v="2025-01-25T00:00:00"/>
    <x v="2"/>
    <x v="1"/>
    <x v="0"/>
    <x v="0"/>
    <x v="3"/>
    <x v="1"/>
    <x v="3"/>
    <x v="2"/>
  </r>
  <r>
    <s v="TX500529"/>
    <x v="4"/>
    <x v="14"/>
    <n v="62.7"/>
    <n v="1065.9000000000001"/>
    <x v="22"/>
    <d v="2025-01-24T00:00:00"/>
    <x v="2"/>
    <x v="2"/>
    <x v="1"/>
    <x v="0"/>
    <x v="3"/>
    <x v="3"/>
    <x v="3"/>
    <x v="2"/>
  </r>
  <r>
    <s v="TX500530"/>
    <x v="10"/>
    <x v="1"/>
    <n v="60.1"/>
    <n v="120.2"/>
    <x v="22"/>
    <d v="2025-01-24T00:00:00"/>
    <x v="2"/>
    <x v="3"/>
    <x v="0"/>
    <x v="0"/>
    <x v="3"/>
    <x v="3"/>
    <x v="3"/>
    <x v="2"/>
  </r>
  <r>
    <s v="TX500531"/>
    <x v="0"/>
    <x v="12"/>
    <n v="11.2"/>
    <n v="44.8"/>
    <x v="22"/>
    <d v="2025-01-24T00:00:00"/>
    <x v="2"/>
    <x v="3"/>
    <x v="1"/>
    <x v="0"/>
    <x v="3"/>
    <x v="3"/>
    <x v="3"/>
    <x v="2"/>
  </r>
  <r>
    <s v="TX500532"/>
    <x v="8"/>
    <x v="1"/>
    <n v="22.9"/>
    <n v="45.8"/>
    <x v="22"/>
    <d v="2025-01-24T00:00:00"/>
    <x v="2"/>
    <x v="0"/>
    <x v="0"/>
    <x v="0"/>
    <x v="6"/>
    <x v="3"/>
    <x v="3"/>
    <x v="2"/>
  </r>
  <r>
    <s v="TX500533"/>
    <x v="1"/>
    <x v="1"/>
    <n v="37.6"/>
    <n v="75.2"/>
    <x v="22"/>
    <d v="2025-01-26T00:00:00"/>
    <x v="2"/>
    <x v="0"/>
    <x v="0"/>
    <x v="0"/>
    <x v="6"/>
    <x v="2"/>
    <x v="3"/>
    <x v="2"/>
  </r>
  <r>
    <s v="TX500534"/>
    <x v="6"/>
    <x v="0"/>
    <n v="42.4"/>
    <n v="42.4"/>
    <x v="22"/>
    <d v="2025-01-24T00:00:00"/>
    <x v="2"/>
    <x v="3"/>
    <x v="2"/>
    <x v="0"/>
    <x v="6"/>
    <x v="3"/>
    <x v="3"/>
    <x v="2"/>
  </r>
  <r>
    <s v="TX500535"/>
    <x v="8"/>
    <x v="1"/>
    <n v="19.600000000000001"/>
    <n v="39.200000000000003"/>
    <x v="22"/>
    <d v="2025-01-27T00:00:00"/>
    <x v="2"/>
    <x v="2"/>
    <x v="0"/>
    <x v="0"/>
    <x v="7"/>
    <x v="5"/>
    <x v="3"/>
    <x v="2"/>
  </r>
  <r>
    <s v="TX500536"/>
    <x v="9"/>
    <x v="0"/>
    <n v="90.5"/>
    <n v="90.5"/>
    <x v="22"/>
    <d v="2025-01-26T00:00:00"/>
    <x v="2"/>
    <x v="2"/>
    <x v="0"/>
    <x v="0"/>
    <x v="7"/>
    <x v="2"/>
    <x v="3"/>
    <x v="2"/>
  </r>
  <r>
    <s v="TX500537"/>
    <x v="16"/>
    <x v="5"/>
    <n v="33.9"/>
    <n v="372.9"/>
    <x v="22"/>
    <d v="2025-01-24T00:00:00"/>
    <x v="1"/>
    <x v="2"/>
    <x v="1"/>
    <x v="0"/>
    <x v="7"/>
    <x v="3"/>
    <x v="3"/>
    <x v="1"/>
  </r>
  <r>
    <s v="TX500538"/>
    <x v="0"/>
    <x v="1"/>
    <n v="32.799999999999997"/>
    <n v="65.599999999999994"/>
    <x v="22"/>
    <d v="2025-01-25T00:00:00"/>
    <x v="2"/>
    <x v="4"/>
    <x v="4"/>
    <x v="0"/>
    <x v="8"/>
    <x v="1"/>
    <x v="3"/>
    <x v="2"/>
  </r>
  <r>
    <s v="TX500539"/>
    <x v="15"/>
    <x v="0"/>
    <n v="49.9"/>
    <n v="49.9"/>
    <x v="22"/>
    <d v="2025-01-24T00:00:00"/>
    <x v="1"/>
    <x v="3"/>
    <x v="1"/>
    <x v="0"/>
    <x v="8"/>
    <x v="3"/>
    <x v="3"/>
    <x v="1"/>
  </r>
  <r>
    <s v="TX500540"/>
    <x v="7"/>
    <x v="9"/>
    <n v="79.2"/>
    <n v="396"/>
    <x v="22"/>
    <d v="2025-01-24T00:00:00"/>
    <x v="2"/>
    <x v="4"/>
    <x v="0"/>
    <x v="0"/>
    <x v="8"/>
    <x v="3"/>
    <x v="3"/>
    <x v="2"/>
  </r>
  <r>
    <s v="TX500541"/>
    <x v="8"/>
    <x v="27"/>
    <n v="19.5"/>
    <n v="312"/>
    <x v="22"/>
    <d v="2025-01-25T00:00:00"/>
    <x v="1"/>
    <x v="3"/>
    <x v="2"/>
    <x v="0"/>
    <x v="8"/>
    <x v="1"/>
    <x v="3"/>
    <x v="1"/>
  </r>
  <r>
    <s v="TX500542"/>
    <x v="8"/>
    <x v="12"/>
    <n v="18"/>
    <n v="72"/>
    <x v="22"/>
    <d v="2025-01-24T00:00:00"/>
    <x v="1"/>
    <x v="1"/>
    <x v="0"/>
    <x v="0"/>
    <x v="10"/>
    <x v="3"/>
    <x v="3"/>
    <x v="1"/>
  </r>
  <r>
    <s v="TX500543"/>
    <x v="9"/>
    <x v="2"/>
    <n v="45.9"/>
    <n v="137.69999999999999"/>
    <x v="22"/>
    <d v="2025-01-25T00:00:00"/>
    <x v="2"/>
    <x v="1"/>
    <x v="1"/>
    <x v="0"/>
    <x v="10"/>
    <x v="1"/>
    <x v="3"/>
    <x v="2"/>
  </r>
  <r>
    <s v="TX500544"/>
    <x v="11"/>
    <x v="0"/>
    <n v="41.2"/>
    <n v="41.2"/>
    <x v="22"/>
    <d v="2025-01-25T00:00:00"/>
    <x v="2"/>
    <x v="1"/>
    <x v="2"/>
    <x v="0"/>
    <x v="11"/>
    <x v="1"/>
    <x v="3"/>
    <x v="2"/>
  </r>
  <r>
    <s v="TX500545"/>
    <x v="2"/>
    <x v="7"/>
    <n v="167.2"/>
    <n v="1672"/>
    <x v="22"/>
    <d v="2025-01-25T00:00:00"/>
    <x v="2"/>
    <x v="2"/>
    <x v="2"/>
    <x v="0"/>
    <x v="32"/>
    <x v="1"/>
    <x v="3"/>
    <x v="2"/>
  </r>
  <r>
    <s v="TX500546"/>
    <x v="6"/>
    <x v="17"/>
    <n v="74.5"/>
    <n v="2235"/>
    <x v="23"/>
    <d v="2025-01-27T00:00:00"/>
    <x v="2"/>
    <x v="1"/>
    <x v="2"/>
    <x v="0"/>
    <x v="38"/>
    <x v="2"/>
    <x v="3"/>
    <x v="2"/>
  </r>
  <r>
    <s v="TX500547"/>
    <x v="7"/>
    <x v="12"/>
    <n v="39.299999999999997"/>
    <n v="157.19999999999999"/>
    <x v="23"/>
    <d v="2025-01-25T00:00:00"/>
    <x v="0"/>
    <x v="2"/>
    <x v="0"/>
    <x v="0"/>
    <x v="19"/>
    <x v="3"/>
    <x v="3"/>
    <x v="0"/>
  </r>
  <r>
    <s v="TX500548"/>
    <x v="9"/>
    <x v="0"/>
    <n v="68.5"/>
    <n v="68.5"/>
    <x v="23"/>
    <d v="2025-01-27T00:00:00"/>
    <x v="1"/>
    <x v="1"/>
    <x v="2"/>
    <x v="0"/>
    <x v="12"/>
    <x v="2"/>
    <x v="3"/>
    <x v="1"/>
  </r>
  <r>
    <s v="TX500549"/>
    <x v="0"/>
    <x v="2"/>
    <n v="22.5"/>
    <n v="67.5"/>
    <x v="23"/>
    <d v="2025-01-24T00:00:00"/>
    <x v="2"/>
    <x v="4"/>
    <x v="0"/>
    <x v="0"/>
    <x v="13"/>
    <x v="7"/>
    <x v="3"/>
    <x v="2"/>
  </r>
  <r>
    <s v="TX500550"/>
    <x v="1"/>
    <x v="0"/>
    <n v="48"/>
    <n v="48"/>
    <x v="23"/>
    <d v="2025-01-25T00:00:00"/>
    <x v="3"/>
    <x v="4"/>
    <x v="1"/>
    <x v="0"/>
    <x v="46"/>
    <x v="3"/>
    <x v="3"/>
    <x v="3"/>
  </r>
  <r>
    <s v="TX500551"/>
    <x v="6"/>
    <x v="0"/>
    <n v="94"/>
    <n v="94"/>
    <x v="23"/>
    <d v="2025-01-25T00:00:00"/>
    <x v="1"/>
    <x v="3"/>
    <x v="1"/>
    <x v="0"/>
    <x v="1"/>
    <x v="3"/>
    <x v="3"/>
    <x v="1"/>
  </r>
  <r>
    <s v="TX500552"/>
    <x v="8"/>
    <x v="2"/>
    <n v="21.9"/>
    <n v="65.699999999999989"/>
    <x v="23"/>
    <d v="2025-01-25T00:00:00"/>
    <x v="2"/>
    <x v="0"/>
    <x v="0"/>
    <x v="0"/>
    <x v="44"/>
    <x v="3"/>
    <x v="3"/>
    <x v="2"/>
  </r>
  <r>
    <s v="TX500553"/>
    <x v="6"/>
    <x v="3"/>
    <n v="64.900000000000006"/>
    <n v="454.30000000000007"/>
    <x v="23"/>
    <d v="2025-01-25T00:00:00"/>
    <x v="2"/>
    <x v="0"/>
    <x v="0"/>
    <x v="0"/>
    <x v="3"/>
    <x v="3"/>
    <x v="3"/>
    <x v="2"/>
  </r>
  <r>
    <s v="TX500554"/>
    <x v="12"/>
    <x v="0"/>
    <n v="52.9"/>
    <n v="52.9"/>
    <x v="23"/>
    <d v="2025-01-24T00:00:00"/>
    <x v="2"/>
    <x v="1"/>
    <x v="1"/>
    <x v="0"/>
    <x v="3"/>
    <x v="7"/>
    <x v="3"/>
    <x v="2"/>
  </r>
  <r>
    <s v="TX500555"/>
    <x v="8"/>
    <x v="2"/>
    <n v="25.5"/>
    <n v="76.5"/>
    <x v="23"/>
    <d v="2025-01-25T00:00:00"/>
    <x v="2"/>
    <x v="1"/>
    <x v="2"/>
    <x v="0"/>
    <x v="3"/>
    <x v="3"/>
    <x v="3"/>
    <x v="2"/>
  </r>
  <r>
    <s v="TX500556"/>
    <x v="6"/>
    <x v="2"/>
    <n v="51.9"/>
    <n v="155.69999999999999"/>
    <x v="23"/>
    <d v="2025-01-25T00:00:00"/>
    <x v="2"/>
    <x v="3"/>
    <x v="0"/>
    <x v="0"/>
    <x v="3"/>
    <x v="3"/>
    <x v="3"/>
    <x v="2"/>
  </r>
  <r>
    <s v="TX500557"/>
    <x v="5"/>
    <x v="0"/>
    <n v="46.3"/>
    <n v="46.3"/>
    <x v="23"/>
    <d v="2025-01-27T00:00:00"/>
    <x v="2"/>
    <x v="4"/>
    <x v="0"/>
    <x v="0"/>
    <x v="3"/>
    <x v="2"/>
    <x v="3"/>
    <x v="2"/>
  </r>
  <r>
    <s v="TX500558"/>
    <x v="6"/>
    <x v="1"/>
    <n v="68.2"/>
    <n v="136.4"/>
    <x v="23"/>
    <d v="2025-01-26T00:00:00"/>
    <x v="2"/>
    <x v="3"/>
    <x v="0"/>
    <x v="0"/>
    <x v="3"/>
    <x v="1"/>
    <x v="3"/>
    <x v="2"/>
  </r>
  <r>
    <s v="TX500559"/>
    <x v="1"/>
    <x v="0"/>
    <n v="40.299999999999997"/>
    <n v="40.299999999999997"/>
    <x v="23"/>
    <d v="2025-01-25T00:00:00"/>
    <x v="1"/>
    <x v="0"/>
    <x v="1"/>
    <x v="0"/>
    <x v="3"/>
    <x v="3"/>
    <x v="3"/>
    <x v="1"/>
  </r>
  <r>
    <s v="TX500560"/>
    <x v="2"/>
    <x v="2"/>
    <n v="91.3"/>
    <n v="273.89999999999998"/>
    <x v="23"/>
    <d v="2025-01-29T00:00:00"/>
    <x v="1"/>
    <x v="0"/>
    <x v="2"/>
    <x v="0"/>
    <x v="6"/>
    <x v="0"/>
    <x v="3"/>
    <x v="1"/>
  </r>
  <r>
    <s v="TX500561"/>
    <x v="0"/>
    <x v="2"/>
    <n v="11.9"/>
    <n v="35.700000000000003"/>
    <x v="23"/>
    <d v="2025-01-25T00:00:00"/>
    <x v="2"/>
    <x v="0"/>
    <x v="1"/>
    <x v="0"/>
    <x v="6"/>
    <x v="3"/>
    <x v="3"/>
    <x v="2"/>
  </r>
  <r>
    <s v="TX500562"/>
    <x v="2"/>
    <x v="1"/>
    <n v="63.5"/>
    <n v="127"/>
    <x v="23"/>
    <d v="2025-01-26T00:00:00"/>
    <x v="1"/>
    <x v="1"/>
    <x v="0"/>
    <x v="0"/>
    <x v="6"/>
    <x v="1"/>
    <x v="3"/>
    <x v="1"/>
  </r>
  <r>
    <s v="TX500563"/>
    <x v="4"/>
    <x v="1"/>
    <n v="27.1"/>
    <n v="54.2"/>
    <x v="23"/>
    <d v="2025-01-27T00:00:00"/>
    <x v="1"/>
    <x v="2"/>
    <x v="2"/>
    <x v="0"/>
    <x v="6"/>
    <x v="2"/>
    <x v="3"/>
    <x v="1"/>
  </r>
  <r>
    <s v="TX500564"/>
    <x v="1"/>
    <x v="1"/>
    <n v="82.1"/>
    <n v="164.2"/>
    <x v="24"/>
    <d v="2025-01-28T00:00:00"/>
    <x v="1"/>
    <x v="1"/>
    <x v="1"/>
    <x v="0"/>
    <x v="7"/>
    <x v="2"/>
    <x v="3"/>
    <x v="1"/>
  </r>
  <r>
    <s v="TX500565"/>
    <x v="3"/>
    <x v="9"/>
    <n v="42.9"/>
    <n v="214.5"/>
    <x v="24"/>
    <d v="2025-01-27T00:00:00"/>
    <x v="2"/>
    <x v="1"/>
    <x v="0"/>
    <x v="0"/>
    <x v="8"/>
    <x v="1"/>
    <x v="3"/>
    <x v="2"/>
  </r>
  <r>
    <s v="TX500566"/>
    <x v="8"/>
    <x v="5"/>
    <n v="37.9"/>
    <n v="416.9"/>
    <x v="24"/>
    <d v="2025-02-01T00:00:00"/>
    <x v="1"/>
    <x v="0"/>
    <x v="0"/>
    <x v="0"/>
    <x v="8"/>
    <x v="6"/>
    <x v="3"/>
    <x v="1"/>
  </r>
  <r>
    <s v="TX500567"/>
    <x v="0"/>
    <x v="0"/>
    <n v="22.4"/>
    <n v="22.4"/>
    <x v="24"/>
    <d v="2025-01-26T00:00:00"/>
    <x v="2"/>
    <x v="0"/>
    <x v="1"/>
    <x v="0"/>
    <x v="17"/>
    <x v="3"/>
    <x v="3"/>
    <x v="2"/>
  </r>
  <r>
    <s v="TX500568"/>
    <x v="2"/>
    <x v="15"/>
    <n v="79.900000000000006"/>
    <n v="1038.7"/>
    <x v="24"/>
    <d v="2025-02-07T00:00:00"/>
    <x v="2"/>
    <x v="3"/>
    <x v="1"/>
    <x v="0"/>
    <x v="11"/>
    <x v="10"/>
    <x v="3"/>
    <x v="2"/>
  </r>
  <r>
    <s v="TX500569"/>
    <x v="1"/>
    <x v="0"/>
    <n v="70.599999999999994"/>
    <n v="70.599999999999994"/>
    <x v="24"/>
    <d v="2025-01-28T00:00:00"/>
    <x v="2"/>
    <x v="0"/>
    <x v="1"/>
    <x v="0"/>
    <x v="11"/>
    <x v="2"/>
    <x v="3"/>
    <x v="2"/>
  </r>
  <r>
    <s v="TX500570"/>
    <x v="6"/>
    <x v="0"/>
    <n v="49.5"/>
    <n v="49.5"/>
    <x v="24"/>
    <d v="2025-01-27T00:00:00"/>
    <x v="1"/>
    <x v="0"/>
    <x v="0"/>
    <x v="0"/>
    <x v="13"/>
    <x v="1"/>
    <x v="3"/>
    <x v="1"/>
  </r>
  <r>
    <s v="TX500571"/>
    <x v="2"/>
    <x v="1"/>
    <n v="96.6"/>
    <n v="193.2"/>
    <x v="24"/>
    <d v="2025-01-27T00:00:00"/>
    <x v="1"/>
    <x v="0"/>
    <x v="0"/>
    <x v="0"/>
    <x v="21"/>
    <x v="1"/>
    <x v="3"/>
    <x v="1"/>
  </r>
  <r>
    <s v="TX500572"/>
    <x v="6"/>
    <x v="1"/>
    <n v="52.8"/>
    <n v="105.6"/>
    <x v="24"/>
    <d v="2025-01-26T00:00:00"/>
    <x v="2"/>
    <x v="1"/>
    <x v="1"/>
    <x v="0"/>
    <x v="21"/>
    <x v="3"/>
    <x v="3"/>
    <x v="2"/>
  </r>
  <r>
    <s v="TX500573"/>
    <x v="2"/>
    <x v="0"/>
    <n v="101.7"/>
    <n v="101.7"/>
    <x v="24"/>
    <d v="2025-01-26T00:00:00"/>
    <x v="1"/>
    <x v="0"/>
    <x v="0"/>
    <x v="0"/>
    <x v="1"/>
    <x v="3"/>
    <x v="3"/>
    <x v="1"/>
  </r>
  <r>
    <s v="TX500574"/>
    <x v="4"/>
    <x v="9"/>
    <n v="26.9"/>
    <n v="134.5"/>
    <x v="24"/>
    <d v="2025-01-30T00:00:00"/>
    <x v="2"/>
    <x v="1"/>
    <x v="1"/>
    <x v="0"/>
    <x v="22"/>
    <x v="0"/>
    <x v="3"/>
    <x v="2"/>
  </r>
  <r>
    <s v="TX500575"/>
    <x v="2"/>
    <x v="12"/>
    <n v="211"/>
    <n v="844"/>
    <x v="24"/>
    <d v="2025-01-25T00:00:00"/>
    <x v="2"/>
    <x v="1"/>
    <x v="1"/>
    <x v="0"/>
    <x v="3"/>
    <x v="7"/>
    <x v="3"/>
    <x v="2"/>
  </r>
  <r>
    <s v="TX500576"/>
    <x v="0"/>
    <x v="12"/>
    <n v="21.1"/>
    <n v="84.4"/>
    <x v="24"/>
    <d v="2025-01-28T00:00:00"/>
    <x v="1"/>
    <x v="4"/>
    <x v="0"/>
    <x v="0"/>
    <x v="3"/>
    <x v="2"/>
    <x v="3"/>
    <x v="1"/>
  </r>
  <r>
    <s v="TX500577"/>
    <x v="10"/>
    <x v="0"/>
    <n v="26.6"/>
    <n v="26.6"/>
    <x v="24"/>
    <d v="2025-01-27T00:00:00"/>
    <x v="1"/>
    <x v="0"/>
    <x v="4"/>
    <x v="0"/>
    <x v="3"/>
    <x v="1"/>
    <x v="3"/>
    <x v="1"/>
  </r>
  <r>
    <s v="TX500578"/>
    <x v="12"/>
    <x v="12"/>
    <n v="51.2"/>
    <n v="204.8"/>
    <x v="24"/>
    <d v="2025-01-26T00:00:00"/>
    <x v="2"/>
    <x v="3"/>
    <x v="0"/>
    <x v="0"/>
    <x v="47"/>
    <x v="3"/>
    <x v="3"/>
    <x v="2"/>
  </r>
  <r>
    <s v="TX500579"/>
    <x v="0"/>
    <x v="9"/>
    <n v="10.6"/>
    <n v="53"/>
    <x v="24"/>
    <d v="2025-01-29T00:00:00"/>
    <x v="2"/>
    <x v="0"/>
    <x v="0"/>
    <x v="0"/>
    <x v="8"/>
    <x v="5"/>
    <x v="3"/>
    <x v="2"/>
  </r>
  <r>
    <s v="TX500580"/>
    <x v="6"/>
    <x v="2"/>
    <n v="43.4"/>
    <n v="130.19999999999999"/>
    <x v="24"/>
    <d v="2025-01-28T00:00:00"/>
    <x v="2"/>
    <x v="4"/>
    <x v="0"/>
    <x v="0"/>
    <x v="8"/>
    <x v="2"/>
    <x v="3"/>
    <x v="2"/>
  </r>
  <r>
    <s v="TX500581"/>
    <x v="12"/>
    <x v="0"/>
    <n v="80"/>
    <n v="80"/>
    <x v="24"/>
    <d v="2025-01-25T00:00:00"/>
    <x v="2"/>
    <x v="0"/>
    <x v="2"/>
    <x v="0"/>
    <x v="8"/>
    <x v="7"/>
    <x v="3"/>
    <x v="2"/>
  </r>
  <r>
    <s v="TX500582"/>
    <x v="10"/>
    <x v="12"/>
    <n v="64.7"/>
    <n v="258.8"/>
    <x v="24"/>
    <d v="2025-01-27T00:00:00"/>
    <x v="2"/>
    <x v="1"/>
    <x v="4"/>
    <x v="0"/>
    <x v="8"/>
    <x v="1"/>
    <x v="3"/>
    <x v="2"/>
  </r>
  <r>
    <s v="TX500583"/>
    <x v="8"/>
    <x v="5"/>
    <n v="26.3"/>
    <n v="289.3"/>
    <x v="25"/>
    <d v="2025-01-26T00:00:00"/>
    <x v="2"/>
    <x v="4"/>
    <x v="1"/>
    <x v="0"/>
    <x v="26"/>
    <x v="7"/>
    <x v="4"/>
    <x v="2"/>
  </r>
  <r>
    <s v="TX500584"/>
    <x v="10"/>
    <x v="0"/>
    <n v="28.5"/>
    <n v="28.5"/>
    <x v="25"/>
    <d v="2025-01-26T00:00:00"/>
    <x v="1"/>
    <x v="0"/>
    <x v="1"/>
    <x v="0"/>
    <x v="9"/>
    <x v="7"/>
    <x v="4"/>
    <x v="1"/>
  </r>
  <r>
    <s v="TX500585"/>
    <x v="17"/>
    <x v="0"/>
    <n v="47.8"/>
    <n v="47.8"/>
    <x v="25"/>
    <d v="2025-01-28T00:00:00"/>
    <x v="2"/>
    <x v="0"/>
    <x v="1"/>
    <x v="0"/>
    <x v="9"/>
    <x v="1"/>
    <x v="4"/>
    <x v="2"/>
  </r>
  <r>
    <s v="TX500586"/>
    <x v="10"/>
    <x v="2"/>
    <n v="42.8"/>
    <n v="128.39999999999998"/>
    <x v="25"/>
    <d v="2025-01-29T00:00:00"/>
    <x v="2"/>
    <x v="4"/>
    <x v="1"/>
    <x v="0"/>
    <x v="11"/>
    <x v="2"/>
    <x v="4"/>
    <x v="2"/>
  </r>
  <r>
    <s v="TX500587"/>
    <x v="6"/>
    <x v="9"/>
    <n v="46.8"/>
    <n v="234"/>
    <x v="25"/>
    <d v="2025-01-31T00:00:00"/>
    <x v="2"/>
    <x v="1"/>
    <x v="2"/>
    <x v="0"/>
    <x v="11"/>
    <x v="0"/>
    <x v="4"/>
    <x v="2"/>
  </r>
  <r>
    <s v="TX500588"/>
    <x v="1"/>
    <x v="7"/>
    <n v="64.099999999999994"/>
    <n v="641"/>
    <x v="25"/>
    <d v="2025-01-27T00:00:00"/>
    <x v="1"/>
    <x v="1"/>
    <x v="0"/>
    <x v="0"/>
    <x v="11"/>
    <x v="3"/>
    <x v="4"/>
    <x v="1"/>
  </r>
  <r>
    <s v="TX500589"/>
    <x v="2"/>
    <x v="0"/>
    <n v="89.1"/>
    <n v="89.1"/>
    <x v="25"/>
    <d v="2025-01-27T00:00:00"/>
    <x v="2"/>
    <x v="0"/>
    <x v="1"/>
    <x v="0"/>
    <x v="20"/>
    <x v="3"/>
    <x v="4"/>
    <x v="2"/>
  </r>
  <r>
    <s v="TX500590"/>
    <x v="2"/>
    <x v="2"/>
    <n v="83.1"/>
    <n v="249.29999999999998"/>
    <x v="25"/>
    <d v="2025-01-27T00:00:00"/>
    <x v="2"/>
    <x v="2"/>
    <x v="1"/>
    <x v="0"/>
    <x v="13"/>
    <x v="3"/>
    <x v="4"/>
    <x v="2"/>
  </r>
  <r>
    <s v="TX500591"/>
    <x v="8"/>
    <x v="2"/>
    <n v="40.9"/>
    <n v="122.69999999999999"/>
    <x v="25"/>
    <d v="2025-01-27T00:00:00"/>
    <x v="1"/>
    <x v="0"/>
    <x v="0"/>
    <x v="0"/>
    <x v="1"/>
    <x v="3"/>
    <x v="4"/>
    <x v="1"/>
  </r>
  <r>
    <s v="TX500592"/>
    <x v="2"/>
    <x v="1"/>
    <n v="125.7"/>
    <n v="251.4"/>
    <x v="25"/>
    <d v="2025-01-27T00:00:00"/>
    <x v="2"/>
    <x v="3"/>
    <x v="0"/>
    <x v="0"/>
    <x v="2"/>
    <x v="3"/>
    <x v="4"/>
    <x v="2"/>
  </r>
  <r>
    <s v="TX500593"/>
    <x v="3"/>
    <x v="1"/>
    <n v="30.9"/>
    <n v="61.8"/>
    <x v="25"/>
    <d v="2025-01-26T00:00:00"/>
    <x v="2"/>
    <x v="2"/>
    <x v="2"/>
    <x v="0"/>
    <x v="22"/>
    <x v="7"/>
    <x v="4"/>
    <x v="2"/>
  </r>
  <r>
    <s v="TX500594"/>
    <x v="8"/>
    <x v="1"/>
    <n v="18.3"/>
    <n v="36.6"/>
    <x v="25"/>
    <d v="2025-01-27T00:00:00"/>
    <x v="2"/>
    <x v="1"/>
    <x v="0"/>
    <x v="0"/>
    <x v="3"/>
    <x v="3"/>
    <x v="4"/>
    <x v="2"/>
  </r>
  <r>
    <s v="TX500595"/>
    <x v="4"/>
    <x v="1"/>
    <n v="56.5"/>
    <n v="113"/>
    <x v="25"/>
    <d v="2025-01-30T00:00:00"/>
    <x v="1"/>
    <x v="2"/>
    <x v="2"/>
    <x v="0"/>
    <x v="3"/>
    <x v="5"/>
    <x v="4"/>
    <x v="1"/>
  </r>
  <r>
    <s v="TX500596"/>
    <x v="10"/>
    <x v="3"/>
    <n v="29.9"/>
    <n v="209.29999999999998"/>
    <x v="25"/>
    <d v="2025-01-28T00:00:00"/>
    <x v="1"/>
    <x v="4"/>
    <x v="2"/>
    <x v="0"/>
    <x v="3"/>
    <x v="1"/>
    <x v="4"/>
    <x v="1"/>
  </r>
  <r>
    <s v="TX500597"/>
    <x v="5"/>
    <x v="1"/>
    <n v="50.4"/>
    <n v="100.8"/>
    <x v="25"/>
    <d v="2025-01-27T00:00:00"/>
    <x v="2"/>
    <x v="2"/>
    <x v="0"/>
    <x v="0"/>
    <x v="3"/>
    <x v="3"/>
    <x v="4"/>
    <x v="2"/>
  </r>
  <r>
    <s v="TX500598"/>
    <x v="2"/>
    <x v="0"/>
    <n v="85.8"/>
    <n v="85.8"/>
    <x v="25"/>
    <d v="2025-01-26T00:00:00"/>
    <x v="2"/>
    <x v="2"/>
    <x v="2"/>
    <x v="0"/>
    <x v="3"/>
    <x v="7"/>
    <x v="4"/>
    <x v="2"/>
  </r>
  <r>
    <s v="TX500599"/>
    <x v="4"/>
    <x v="27"/>
    <n v="66.599999999999994"/>
    <n v="1065.5999999999999"/>
    <x v="25"/>
    <d v="2025-01-28T00:00:00"/>
    <x v="1"/>
    <x v="1"/>
    <x v="0"/>
    <x v="0"/>
    <x v="3"/>
    <x v="1"/>
    <x v="4"/>
    <x v="1"/>
  </r>
  <r>
    <s v="TX500600"/>
    <x v="6"/>
    <x v="12"/>
    <n v="70.3"/>
    <n v="281.2"/>
    <x v="25"/>
    <d v="2025-01-27T00:00:00"/>
    <x v="2"/>
    <x v="0"/>
    <x v="1"/>
    <x v="0"/>
    <x v="3"/>
    <x v="3"/>
    <x v="4"/>
    <x v="2"/>
  </r>
  <r>
    <s v="TX500601"/>
    <x v="8"/>
    <x v="12"/>
    <n v="31"/>
    <n v="124"/>
    <x v="25"/>
    <d v="2025-01-29T00:00:00"/>
    <x v="1"/>
    <x v="0"/>
    <x v="2"/>
    <x v="0"/>
    <x v="3"/>
    <x v="2"/>
    <x v="4"/>
    <x v="1"/>
  </r>
  <r>
    <s v="TX500602"/>
    <x v="7"/>
    <x v="13"/>
    <n v="81.599999999999994"/>
    <n v="489.59999999999997"/>
    <x v="25"/>
    <d v="2025-01-27T00:00:00"/>
    <x v="2"/>
    <x v="1"/>
    <x v="1"/>
    <x v="0"/>
    <x v="37"/>
    <x v="3"/>
    <x v="4"/>
    <x v="2"/>
  </r>
  <r>
    <s v="TX500603"/>
    <x v="1"/>
    <x v="30"/>
    <n v="58.3"/>
    <n v="1457.5"/>
    <x v="25"/>
    <d v="2025-01-27T00:00:00"/>
    <x v="2"/>
    <x v="0"/>
    <x v="0"/>
    <x v="0"/>
    <x v="16"/>
    <x v="3"/>
    <x v="4"/>
    <x v="2"/>
  </r>
  <r>
    <s v="TX500604"/>
    <x v="1"/>
    <x v="12"/>
    <n v="35.1"/>
    <n v="140.4"/>
    <x v="25"/>
    <d v="2025-01-28T00:00:00"/>
    <x v="1"/>
    <x v="0"/>
    <x v="2"/>
    <x v="0"/>
    <x v="8"/>
    <x v="1"/>
    <x v="4"/>
    <x v="1"/>
  </r>
  <r>
    <s v="TX500605"/>
    <x v="2"/>
    <x v="0"/>
    <n v="80.2"/>
    <n v="80.2"/>
    <x v="25"/>
    <d v="2025-01-27T00:00:00"/>
    <x v="1"/>
    <x v="3"/>
    <x v="2"/>
    <x v="0"/>
    <x v="8"/>
    <x v="3"/>
    <x v="4"/>
    <x v="1"/>
  </r>
  <r>
    <s v="TX500606"/>
    <x v="14"/>
    <x v="2"/>
    <n v="39.200000000000003"/>
    <n v="117.60000000000001"/>
    <x v="25"/>
    <d v="2025-01-28T00:00:00"/>
    <x v="2"/>
    <x v="1"/>
    <x v="0"/>
    <x v="0"/>
    <x v="9"/>
    <x v="1"/>
    <x v="4"/>
    <x v="2"/>
  </r>
  <r>
    <s v="TX500607"/>
    <x v="0"/>
    <x v="1"/>
    <n v="15.4"/>
    <n v="30.8"/>
    <x v="25"/>
    <d v="2025-01-26T00:00:00"/>
    <x v="2"/>
    <x v="3"/>
    <x v="0"/>
    <x v="0"/>
    <x v="48"/>
    <x v="7"/>
    <x v="4"/>
    <x v="2"/>
  </r>
  <r>
    <s v="TX500608"/>
    <x v="3"/>
    <x v="2"/>
    <n v="65.400000000000006"/>
    <n v="196.20000000000002"/>
    <x v="25"/>
    <d v="2025-01-29T00:00:00"/>
    <x v="1"/>
    <x v="3"/>
    <x v="0"/>
    <x v="0"/>
    <x v="18"/>
    <x v="2"/>
    <x v="4"/>
    <x v="1"/>
  </r>
  <r>
    <s v="TX500609"/>
    <x v="1"/>
    <x v="8"/>
    <n v="63.2"/>
    <n v="505.6"/>
    <x v="25"/>
    <d v="2025-01-28T00:00:00"/>
    <x v="2"/>
    <x v="1"/>
    <x v="0"/>
    <x v="0"/>
    <x v="19"/>
    <x v="1"/>
    <x v="4"/>
    <x v="2"/>
  </r>
  <r>
    <s v="TX500610"/>
    <x v="1"/>
    <x v="13"/>
    <n v="35.700000000000003"/>
    <n v="214.20000000000002"/>
    <x v="25"/>
    <d v="2025-01-30T00:00:00"/>
    <x v="2"/>
    <x v="4"/>
    <x v="1"/>
    <x v="0"/>
    <x v="19"/>
    <x v="5"/>
    <x v="4"/>
    <x v="2"/>
  </r>
  <r>
    <s v="TX500611"/>
    <x v="0"/>
    <x v="28"/>
    <n v="26.2"/>
    <n v="524"/>
    <x v="25"/>
    <d v="2025-01-27T00:00:00"/>
    <x v="2"/>
    <x v="3"/>
    <x v="0"/>
    <x v="0"/>
    <x v="21"/>
    <x v="3"/>
    <x v="4"/>
    <x v="2"/>
  </r>
  <r>
    <s v="TX500612"/>
    <x v="7"/>
    <x v="1"/>
    <n v="31"/>
    <n v="62"/>
    <x v="25"/>
    <d v="2025-01-27T00:00:00"/>
    <x v="2"/>
    <x v="0"/>
    <x v="2"/>
    <x v="0"/>
    <x v="1"/>
    <x v="3"/>
    <x v="4"/>
    <x v="2"/>
  </r>
  <r>
    <s v="TX500613"/>
    <x v="8"/>
    <x v="12"/>
    <n v="37.700000000000003"/>
    <n v="150.80000000000001"/>
    <x v="25"/>
    <d v="2025-01-27T00:00:00"/>
    <x v="2"/>
    <x v="1"/>
    <x v="0"/>
    <x v="0"/>
    <x v="22"/>
    <x v="3"/>
    <x v="4"/>
    <x v="2"/>
  </r>
  <r>
    <s v="TX500614"/>
    <x v="10"/>
    <x v="33"/>
    <n v="43.6"/>
    <n v="1482.4"/>
    <x v="25"/>
    <d v="2025-01-28T00:00:00"/>
    <x v="2"/>
    <x v="4"/>
    <x v="1"/>
    <x v="0"/>
    <x v="3"/>
    <x v="1"/>
    <x v="4"/>
    <x v="2"/>
  </r>
  <r>
    <s v="TX500615"/>
    <x v="9"/>
    <x v="12"/>
    <n v="26.5"/>
    <n v="106"/>
    <x v="25"/>
    <d v="2025-01-28T00:00:00"/>
    <x v="1"/>
    <x v="0"/>
    <x v="4"/>
    <x v="0"/>
    <x v="3"/>
    <x v="1"/>
    <x v="4"/>
    <x v="1"/>
  </r>
  <r>
    <s v="TX500616"/>
    <x v="0"/>
    <x v="1"/>
    <n v="34.6"/>
    <n v="69.2"/>
    <x v="25"/>
    <d v="2025-01-27T00:00:00"/>
    <x v="1"/>
    <x v="4"/>
    <x v="1"/>
    <x v="0"/>
    <x v="3"/>
    <x v="3"/>
    <x v="4"/>
    <x v="1"/>
  </r>
  <r>
    <s v="TX500617"/>
    <x v="8"/>
    <x v="1"/>
    <n v="58.2"/>
    <n v="116.4"/>
    <x v="25"/>
    <d v="2025-01-27T00:00:00"/>
    <x v="1"/>
    <x v="2"/>
    <x v="2"/>
    <x v="0"/>
    <x v="3"/>
    <x v="3"/>
    <x v="4"/>
    <x v="1"/>
  </r>
  <r>
    <s v="TX500618"/>
    <x v="7"/>
    <x v="0"/>
    <n v="30.2"/>
    <n v="30.2"/>
    <x v="26"/>
    <d v="2025-01-28T00:00:00"/>
    <x v="2"/>
    <x v="2"/>
    <x v="1"/>
    <x v="0"/>
    <x v="3"/>
    <x v="3"/>
    <x v="4"/>
    <x v="2"/>
  </r>
  <r>
    <s v="TX500619"/>
    <x v="1"/>
    <x v="7"/>
    <n v="53.2"/>
    <n v="532"/>
    <x v="26"/>
    <d v="2025-01-28T00:00:00"/>
    <x v="1"/>
    <x v="0"/>
    <x v="2"/>
    <x v="0"/>
    <x v="5"/>
    <x v="3"/>
    <x v="4"/>
    <x v="1"/>
  </r>
  <r>
    <s v="TX500620"/>
    <x v="12"/>
    <x v="13"/>
    <n v="51.1"/>
    <n v="306.60000000000002"/>
    <x v="26"/>
    <d v="2025-01-27T00:00:00"/>
    <x v="1"/>
    <x v="1"/>
    <x v="2"/>
    <x v="0"/>
    <x v="5"/>
    <x v="7"/>
    <x v="4"/>
    <x v="1"/>
  </r>
  <r>
    <s v="TX500621"/>
    <x v="1"/>
    <x v="0"/>
    <n v="105.4"/>
    <n v="105.4"/>
    <x v="26"/>
    <d v="2025-01-31T00:00:00"/>
    <x v="2"/>
    <x v="1"/>
    <x v="2"/>
    <x v="0"/>
    <x v="23"/>
    <x v="5"/>
    <x v="4"/>
    <x v="2"/>
  </r>
  <r>
    <s v="TX500622"/>
    <x v="7"/>
    <x v="0"/>
    <n v="57.7"/>
    <n v="57.7"/>
    <x v="26"/>
    <d v="2025-01-27T00:00:00"/>
    <x v="1"/>
    <x v="0"/>
    <x v="4"/>
    <x v="0"/>
    <x v="8"/>
    <x v="7"/>
    <x v="4"/>
    <x v="1"/>
  </r>
  <r>
    <s v="TX500623"/>
    <x v="15"/>
    <x v="1"/>
    <n v="72.400000000000006"/>
    <n v="144.80000000000001"/>
    <x v="26"/>
    <d v="2025-02-01T00:00:00"/>
    <x v="2"/>
    <x v="0"/>
    <x v="0"/>
    <x v="0"/>
    <x v="17"/>
    <x v="0"/>
    <x v="4"/>
    <x v="2"/>
  </r>
  <r>
    <s v="TX500624"/>
    <x v="6"/>
    <x v="1"/>
    <n v="62.5"/>
    <n v="125"/>
    <x v="26"/>
    <d v="2025-01-28T00:00:00"/>
    <x v="0"/>
    <x v="0"/>
    <x v="2"/>
    <x v="0"/>
    <x v="11"/>
    <x v="3"/>
    <x v="4"/>
    <x v="0"/>
  </r>
  <r>
    <s v="TX500625"/>
    <x v="0"/>
    <x v="32"/>
    <n v="11.6"/>
    <n v="255.2"/>
    <x v="26"/>
    <d v="2025-01-29T00:00:00"/>
    <x v="2"/>
    <x v="3"/>
    <x v="2"/>
    <x v="0"/>
    <x v="18"/>
    <x v="1"/>
    <x v="4"/>
    <x v="2"/>
  </r>
  <r>
    <s v="TX500626"/>
    <x v="10"/>
    <x v="7"/>
    <n v="39.6"/>
    <n v="396"/>
    <x v="26"/>
    <d v="2025-01-29T00:00:00"/>
    <x v="2"/>
    <x v="2"/>
    <x v="2"/>
    <x v="0"/>
    <x v="18"/>
    <x v="1"/>
    <x v="4"/>
    <x v="2"/>
  </r>
  <r>
    <s v="TX500627"/>
    <x v="8"/>
    <x v="1"/>
    <n v="40.1"/>
    <n v="80.2"/>
    <x v="26"/>
    <d v="2025-01-28T00:00:00"/>
    <x v="2"/>
    <x v="2"/>
    <x v="0"/>
    <x v="0"/>
    <x v="18"/>
    <x v="3"/>
    <x v="4"/>
    <x v="2"/>
  </r>
  <r>
    <s v="TX500628"/>
    <x v="8"/>
    <x v="2"/>
    <n v="18.600000000000001"/>
    <n v="55.800000000000004"/>
    <x v="26"/>
    <d v="2025-01-28T00:00:00"/>
    <x v="2"/>
    <x v="2"/>
    <x v="0"/>
    <x v="0"/>
    <x v="21"/>
    <x v="3"/>
    <x v="4"/>
    <x v="2"/>
  </r>
  <r>
    <s v="TX500629"/>
    <x v="4"/>
    <x v="0"/>
    <n v="58.8"/>
    <n v="58.8"/>
    <x v="26"/>
    <d v="2025-01-29T00:00:00"/>
    <x v="2"/>
    <x v="0"/>
    <x v="1"/>
    <x v="0"/>
    <x v="21"/>
    <x v="1"/>
    <x v="4"/>
    <x v="2"/>
  </r>
  <r>
    <s v="TX500630"/>
    <x v="8"/>
    <x v="1"/>
    <n v="22.1"/>
    <n v="44.2"/>
    <x v="26"/>
    <d v="2025-01-30T00:00:00"/>
    <x v="1"/>
    <x v="1"/>
    <x v="2"/>
    <x v="0"/>
    <x v="21"/>
    <x v="2"/>
    <x v="4"/>
    <x v="1"/>
  </r>
  <r>
    <s v="TX500631"/>
    <x v="2"/>
    <x v="0"/>
    <n v="114.9"/>
    <n v="114.9"/>
    <x v="27"/>
    <d v="2025-01-29T00:00:00"/>
    <x v="2"/>
    <x v="1"/>
    <x v="1"/>
    <x v="0"/>
    <x v="22"/>
    <x v="3"/>
    <x v="4"/>
    <x v="2"/>
  </r>
  <r>
    <s v="TX500632"/>
    <x v="9"/>
    <x v="9"/>
    <n v="75.8"/>
    <n v="379"/>
    <x v="27"/>
    <d v="2025-01-29T00:00:00"/>
    <x v="1"/>
    <x v="0"/>
    <x v="2"/>
    <x v="0"/>
    <x v="3"/>
    <x v="3"/>
    <x v="4"/>
    <x v="1"/>
  </r>
  <r>
    <s v="TX500633"/>
    <x v="14"/>
    <x v="9"/>
    <n v="20.6"/>
    <n v="103"/>
    <x v="27"/>
    <d v="2025-01-29T00:00:00"/>
    <x v="1"/>
    <x v="2"/>
    <x v="2"/>
    <x v="0"/>
    <x v="3"/>
    <x v="3"/>
    <x v="4"/>
    <x v="1"/>
  </r>
  <r>
    <s v="TX500634"/>
    <x v="17"/>
    <x v="2"/>
    <n v="67.900000000000006"/>
    <n v="203.70000000000002"/>
    <x v="27"/>
    <d v="2025-01-29T00:00:00"/>
    <x v="2"/>
    <x v="1"/>
    <x v="1"/>
    <x v="0"/>
    <x v="3"/>
    <x v="3"/>
    <x v="4"/>
    <x v="2"/>
  </r>
  <r>
    <s v="TX500635"/>
    <x v="0"/>
    <x v="9"/>
    <n v="27"/>
    <n v="135"/>
    <x v="27"/>
    <d v="2025-02-04T00:00:00"/>
    <x v="2"/>
    <x v="0"/>
    <x v="2"/>
    <x v="0"/>
    <x v="3"/>
    <x v="6"/>
    <x v="4"/>
    <x v="2"/>
  </r>
  <r>
    <s v="TX500636"/>
    <x v="13"/>
    <x v="0"/>
    <n v="50.6"/>
    <n v="50.6"/>
    <x v="27"/>
    <d v="2025-01-28T00:00:00"/>
    <x v="1"/>
    <x v="0"/>
    <x v="1"/>
    <x v="0"/>
    <x v="3"/>
    <x v="7"/>
    <x v="4"/>
    <x v="1"/>
  </r>
  <r>
    <s v="TX500637"/>
    <x v="4"/>
    <x v="9"/>
    <n v="22.1"/>
    <n v="110.5"/>
    <x v="27"/>
    <d v="2025-02-02T00:00:00"/>
    <x v="1"/>
    <x v="0"/>
    <x v="0"/>
    <x v="0"/>
    <x v="3"/>
    <x v="0"/>
    <x v="4"/>
    <x v="1"/>
  </r>
  <r>
    <s v="TX500638"/>
    <x v="8"/>
    <x v="2"/>
    <n v="42.9"/>
    <n v="128.69999999999999"/>
    <x v="27"/>
    <d v="2025-01-30T00:00:00"/>
    <x v="2"/>
    <x v="0"/>
    <x v="0"/>
    <x v="0"/>
    <x v="3"/>
    <x v="1"/>
    <x v="4"/>
    <x v="2"/>
  </r>
  <r>
    <s v="TX500639"/>
    <x v="1"/>
    <x v="5"/>
    <n v="62.4"/>
    <n v="686.4"/>
    <x v="27"/>
    <d v="2025-01-30T00:00:00"/>
    <x v="2"/>
    <x v="2"/>
    <x v="0"/>
    <x v="0"/>
    <x v="3"/>
    <x v="1"/>
    <x v="4"/>
    <x v="2"/>
  </r>
  <r>
    <s v="TX500640"/>
    <x v="13"/>
    <x v="11"/>
    <n v="36.4"/>
    <n v="327.59999999999997"/>
    <x v="27"/>
    <d v="2025-01-30T00:00:00"/>
    <x v="2"/>
    <x v="0"/>
    <x v="2"/>
    <x v="0"/>
    <x v="3"/>
    <x v="1"/>
    <x v="4"/>
    <x v="2"/>
  </r>
  <r>
    <s v="TX500641"/>
    <x v="0"/>
    <x v="1"/>
    <n v="22.5"/>
    <n v="45"/>
    <x v="27"/>
    <d v="2025-01-31T00:00:00"/>
    <x v="1"/>
    <x v="0"/>
    <x v="0"/>
    <x v="0"/>
    <x v="3"/>
    <x v="2"/>
    <x v="4"/>
    <x v="1"/>
  </r>
  <r>
    <s v="TX500642"/>
    <x v="6"/>
    <x v="12"/>
    <n v="70.8"/>
    <n v="283.2"/>
    <x v="27"/>
    <d v="2025-01-30T00:00:00"/>
    <x v="2"/>
    <x v="4"/>
    <x v="0"/>
    <x v="0"/>
    <x v="3"/>
    <x v="1"/>
    <x v="4"/>
    <x v="2"/>
  </r>
  <r>
    <s v="TX500643"/>
    <x v="6"/>
    <x v="9"/>
    <n v="56.6"/>
    <n v="283"/>
    <x v="27"/>
    <d v="2025-01-30T00:00:00"/>
    <x v="1"/>
    <x v="0"/>
    <x v="1"/>
    <x v="0"/>
    <x v="4"/>
    <x v="1"/>
    <x v="4"/>
    <x v="1"/>
  </r>
  <r>
    <s v="TX500644"/>
    <x v="6"/>
    <x v="1"/>
    <n v="47.9"/>
    <n v="95.8"/>
    <x v="27"/>
    <d v="2025-01-29T00:00:00"/>
    <x v="2"/>
    <x v="0"/>
    <x v="0"/>
    <x v="0"/>
    <x v="6"/>
    <x v="3"/>
    <x v="4"/>
    <x v="2"/>
  </r>
  <r>
    <s v="TX500645"/>
    <x v="6"/>
    <x v="8"/>
    <n v="78.400000000000006"/>
    <n v="627.20000000000005"/>
    <x v="27"/>
    <d v="2025-01-30T00:00:00"/>
    <x v="2"/>
    <x v="1"/>
    <x v="0"/>
    <x v="0"/>
    <x v="6"/>
    <x v="1"/>
    <x v="4"/>
    <x v="2"/>
  </r>
  <r>
    <s v="TX500646"/>
    <x v="2"/>
    <x v="21"/>
    <n v="122.1"/>
    <n v="1709.3999999999999"/>
    <x v="27"/>
    <d v="2025-02-02T00:00:00"/>
    <x v="2"/>
    <x v="0"/>
    <x v="2"/>
    <x v="0"/>
    <x v="6"/>
    <x v="0"/>
    <x v="4"/>
    <x v="2"/>
  </r>
  <r>
    <s v="TX500647"/>
    <x v="2"/>
    <x v="1"/>
    <n v="83.7"/>
    <n v="167.4"/>
    <x v="28"/>
    <d v="2025-01-29T00:00:00"/>
    <x v="0"/>
    <x v="1"/>
    <x v="2"/>
    <x v="0"/>
    <x v="7"/>
    <x v="7"/>
    <x v="4"/>
    <x v="0"/>
  </r>
  <r>
    <s v="TX500648"/>
    <x v="3"/>
    <x v="12"/>
    <n v="97.9"/>
    <n v="391.6"/>
    <x v="28"/>
    <d v="2025-02-02T00:00:00"/>
    <x v="2"/>
    <x v="3"/>
    <x v="2"/>
    <x v="0"/>
    <x v="7"/>
    <x v="5"/>
    <x v="4"/>
    <x v="2"/>
  </r>
  <r>
    <s v="TX500649"/>
    <x v="14"/>
    <x v="0"/>
    <n v="15"/>
    <n v="15"/>
    <x v="28"/>
    <d v="2025-02-03T00:00:00"/>
    <x v="2"/>
    <x v="3"/>
    <x v="0"/>
    <x v="0"/>
    <x v="8"/>
    <x v="0"/>
    <x v="4"/>
    <x v="2"/>
  </r>
  <r>
    <s v="TX500650"/>
    <x v="12"/>
    <x v="2"/>
    <n v="94.6"/>
    <n v="283.79999999999995"/>
    <x v="28"/>
    <d v="2025-01-30T00:00:00"/>
    <x v="1"/>
    <x v="2"/>
    <x v="1"/>
    <x v="0"/>
    <x v="8"/>
    <x v="3"/>
    <x v="4"/>
    <x v="1"/>
  </r>
  <r>
    <s v="TX500651"/>
    <x v="0"/>
    <x v="13"/>
    <n v="19.7"/>
    <n v="118.19999999999999"/>
    <x v="28"/>
    <d v="2025-02-09T00:00:00"/>
    <x v="2"/>
    <x v="0"/>
    <x v="2"/>
    <x v="0"/>
    <x v="8"/>
    <x v="11"/>
    <x v="4"/>
    <x v="2"/>
  </r>
  <r>
    <s v="TX500652"/>
    <x v="7"/>
    <x v="0"/>
    <n v="46.7"/>
    <n v="46.7"/>
    <x v="28"/>
    <d v="2025-02-01T00:00:00"/>
    <x v="2"/>
    <x v="2"/>
    <x v="0"/>
    <x v="0"/>
    <x v="17"/>
    <x v="2"/>
    <x v="4"/>
    <x v="2"/>
  </r>
  <r>
    <s v="TX500653"/>
    <x v="1"/>
    <x v="12"/>
    <n v="43"/>
    <n v="172"/>
    <x v="28"/>
    <d v="2025-01-30T00:00:00"/>
    <x v="1"/>
    <x v="2"/>
    <x v="2"/>
    <x v="0"/>
    <x v="17"/>
    <x v="3"/>
    <x v="4"/>
    <x v="1"/>
  </r>
  <r>
    <s v="TX500654"/>
    <x v="6"/>
    <x v="2"/>
    <n v="68.2"/>
    <n v="204.60000000000002"/>
    <x v="28"/>
    <d v="2025-02-04T00:00:00"/>
    <x v="2"/>
    <x v="0"/>
    <x v="0"/>
    <x v="0"/>
    <x v="9"/>
    <x v="4"/>
    <x v="4"/>
    <x v="2"/>
  </r>
  <r>
    <s v="TX500655"/>
    <x v="10"/>
    <x v="7"/>
    <n v="24.3"/>
    <n v="243"/>
    <x v="28"/>
    <d v="2025-01-30T00:00:00"/>
    <x v="1"/>
    <x v="0"/>
    <x v="2"/>
    <x v="0"/>
    <x v="10"/>
    <x v="3"/>
    <x v="4"/>
    <x v="1"/>
  </r>
  <r>
    <s v="TX500656"/>
    <x v="7"/>
    <x v="1"/>
    <n v="86.8"/>
    <n v="173.6"/>
    <x v="28"/>
    <d v="2025-02-02T00:00:00"/>
    <x v="2"/>
    <x v="4"/>
    <x v="2"/>
    <x v="0"/>
    <x v="11"/>
    <x v="5"/>
    <x v="4"/>
    <x v="2"/>
  </r>
  <r>
    <s v="TX500657"/>
    <x v="0"/>
    <x v="1"/>
    <n v="15.8"/>
    <n v="31.6"/>
    <x v="28"/>
    <d v="2025-01-31T00:00:00"/>
    <x v="1"/>
    <x v="1"/>
    <x v="0"/>
    <x v="0"/>
    <x v="11"/>
    <x v="1"/>
    <x v="4"/>
    <x v="1"/>
  </r>
  <r>
    <s v="TX500658"/>
    <x v="2"/>
    <x v="12"/>
    <n v="61.6"/>
    <n v="246.4"/>
    <x v="28"/>
    <d v="2025-01-30T00:00:00"/>
    <x v="1"/>
    <x v="2"/>
    <x v="0"/>
    <x v="0"/>
    <x v="11"/>
    <x v="3"/>
    <x v="4"/>
    <x v="1"/>
  </r>
  <r>
    <s v="TX500659"/>
    <x v="6"/>
    <x v="2"/>
    <n v="48.7"/>
    <n v="146.10000000000002"/>
    <x v="28"/>
    <d v="2025-02-04T00:00:00"/>
    <x v="2"/>
    <x v="1"/>
    <x v="2"/>
    <x v="0"/>
    <x v="45"/>
    <x v="4"/>
    <x v="4"/>
    <x v="2"/>
  </r>
  <r>
    <s v="TX500660"/>
    <x v="8"/>
    <x v="12"/>
    <n v="24.3"/>
    <n v="97.2"/>
    <x v="28"/>
    <d v="2025-01-31T00:00:00"/>
    <x v="2"/>
    <x v="1"/>
    <x v="2"/>
    <x v="0"/>
    <x v="21"/>
    <x v="1"/>
    <x v="4"/>
    <x v="2"/>
  </r>
  <r>
    <s v="TX500661"/>
    <x v="2"/>
    <x v="1"/>
    <n v="130.69999999999999"/>
    <n v="261.39999999999998"/>
    <x v="28"/>
    <d v="2025-01-30T00:00:00"/>
    <x v="2"/>
    <x v="2"/>
    <x v="0"/>
    <x v="0"/>
    <x v="44"/>
    <x v="3"/>
    <x v="4"/>
    <x v="2"/>
  </r>
  <r>
    <s v="TX500662"/>
    <x v="10"/>
    <x v="0"/>
    <n v="26"/>
    <n v="26"/>
    <x v="28"/>
    <d v="2025-01-31T00:00:00"/>
    <x v="1"/>
    <x v="0"/>
    <x v="0"/>
    <x v="0"/>
    <x v="3"/>
    <x v="1"/>
    <x v="4"/>
    <x v="1"/>
  </r>
  <r>
    <s v="TX500663"/>
    <x v="2"/>
    <x v="9"/>
    <n v="94.4"/>
    <n v="472"/>
    <x v="28"/>
    <d v="2025-01-30T00:00:00"/>
    <x v="2"/>
    <x v="0"/>
    <x v="0"/>
    <x v="0"/>
    <x v="3"/>
    <x v="3"/>
    <x v="4"/>
    <x v="2"/>
  </r>
  <r>
    <s v="TX500664"/>
    <x v="0"/>
    <x v="13"/>
    <n v="23.7"/>
    <n v="142.19999999999999"/>
    <x v="28"/>
    <d v="2025-01-31T00:00:00"/>
    <x v="1"/>
    <x v="2"/>
    <x v="2"/>
    <x v="0"/>
    <x v="3"/>
    <x v="1"/>
    <x v="4"/>
    <x v="1"/>
  </r>
  <r>
    <s v="TX500665"/>
    <x v="9"/>
    <x v="4"/>
    <n v="37.4"/>
    <n v="448.79999999999995"/>
    <x v="28"/>
    <d v="2025-01-31T00:00:00"/>
    <x v="1"/>
    <x v="2"/>
    <x v="0"/>
    <x v="0"/>
    <x v="3"/>
    <x v="1"/>
    <x v="4"/>
    <x v="1"/>
  </r>
  <r>
    <s v="TX500666"/>
    <x v="1"/>
    <x v="34"/>
    <n v="55.2"/>
    <n v="1987.2"/>
    <x v="28"/>
    <d v="2025-01-29T00:00:00"/>
    <x v="2"/>
    <x v="3"/>
    <x v="1"/>
    <x v="0"/>
    <x v="3"/>
    <x v="7"/>
    <x v="4"/>
    <x v="2"/>
  </r>
  <r>
    <s v="TX500667"/>
    <x v="2"/>
    <x v="11"/>
    <n v="57.1"/>
    <n v="513.9"/>
    <x v="28"/>
    <d v="2025-01-31T00:00:00"/>
    <x v="1"/>
    <x v="0"/>
    <x v="2"/>
    <x v="0"/>
    <x v="3"/>
    <x v="1"/>
    <x v="4"/>
    <x v="1"/>
  </r>
  <r>
    <s v="TX500668"/>
    <x v="12"/>
    <x v="0"/>
    <n v="55.3"/>
    <n v="55.3"/>
    <x v="28"/>
    <d v="2025-01-30T00:00:00"/>
    <x v="2"/>
    <x v="2"/>
    <x v="2"/>
    <x v="0"/>
    <x v="3"/>
    <x v="3"/>
    <x v="4"/>
    <x v="2"/>
  </r>
  <r>
    <s v="TX500669"/>
    <x v="15"/>
    <x v="3"/>
    <n v="23.9"/>
    <n v="167.29999999999998"/>
    <x v="28"/>
    <d v="2025-01-30T00:00:00"/>
    <x v="2"/>
    <x v="4"/>
    <x v="1"/>
    <x v="0"/>
    <x v="3"/>
    <x v="3"/>
    <x v="4"/>
    <x v="2"/>
  </r>
  <r>
    <s v="TX500670"/>
    <x v="0"/>
    <x v="0"/>
    <n v="34.1"/>
    <n v="34.1"/>
    <x v="28"/>
    <d v="2025-02-05T00:00:00"/>
    <x v="2"/>
    <x v="2"/>
    <x v="0"/>
    <x v="0"/>
    <x v="3"/>
    <x v="6"/>
    <x v="4"/>
    <x v="2"/>
  </r>
  <r>
    <s v="TX500671"/>
    <x v="12"/>
    <x v="12"/>
    <n v="38.5"/>
    <n v="154"/>
    <x v="28"/>
    <d v="2025-02-09T00:00:00"/>
    <x v="2"/>
    <x v="0"/>
    <x v="0"/>
    <x v="0"/>
    <x v="3"/>
    <x v="11"/>
    <x v="4"/>
    <x v="2"/>
  </r>
  <r>
    <s v="TX500672"/>
    <x v="7"/>
    <x v="1"/>
    <n v="105"/>
    <n v="210"/>
    <x v="28"/>
    <d v="2025-02-04T00:00:00"/>
    <x v="2"/>
    <x v="0"/>
    <x v="2"/>
    <x v="0"/>
    <x v="3"/>
    <x v="4"/>
    <x v="4"/>
    <x v="2"/>
  </r>
  <r>
    <s v="TX500673"/>
    <x v="8"/>
    <x v="9"/>
    <n v="45.2"/>
    <n v="226"/>
    <x v="28"/>
    <d v="2025-01-31T00:00:00"/>
    <x v="2"/>
    <x v="0"/>
    <x v="2"/>
    <x v="0"/>
    <x v="3"/>
    <x v="1"/>
    <x v="4"/>
    <x v="2"/>
  </r>
  <r>
    <s v="TX500674"/>
    <x v="17"/>
    <x v="2"/>
    <n v="24.8"/>
    <n v="74.400000000000006"/>
    <x v="28"/>
    <d v="2025-01-29T00:00:00"/>
    <x v="0"/>
    <x v="0"/>
    <x v="1"/>
    <x v="0"/>
    <x v="3"/>
    <x v="7"/>
    <x v="4"/>
    <x v="0"/>
  </r>
  <r>
    <s v="TX500675"/>
    <x v="11"/>
    <x v="12"/>
    <n v="43.8"/>
    <n v="175.2"/>
    <x v="28"/>
    <d v="2025-02-05T00:00:00"/>
    <x v="2"/>
    <x v="1"/>
    <x v="2"/>
    <x v="0"/>
    <x v="6"/>
    <x v="6"/>
    <x v="4"/>
    <x v="2"/>
  </r>
  <r>
    <s v="TX500676"/>
    <x v="1"/>
    <x v="0"/>
    <n v="75"/>
    <n v="75"/>
    <x v="28"/>
    <d v="2025-01-31T00:00:00"/>
    <x v="2"/>
    <x v="4"/>
    <x v="1"/>
    <x v="0"/>
    <x v="6"/>
    <x v="1"/>
    <x v="4"/>
    <x v="2"/>
  </r>
  <r>
    <s v="TX500677"/>
    <x v="2"/>
    <x v="0"/>
    <n v="169.9"/>
    <n v="169.9"/>
    <x v="28"/>
    <d v="2025-01-30T00:00:00"/>
    <x v="1"/>
    <x v="2"/>
    <x v="0"/>
    <x v="0"/>
    <x v="6"/>
    <x v="3"/>
    <x v="4"/>
    <x v="1"/>
  </r>
  <r>
    <s v="TX500678"/>
    <x v="9"/>
    <x v="1"/>
    <n v="72.2"/>
    <n v="144.4"/>
    <x v="28"/>
    <d v="2025-01-31T00:00:00"/>
    <x v="2"/>
    <x v="4"/>
    <x v="1"/>
    <x v="0"/>
    <x v="6"/>
    <x v="1"/>
    <x v="4"/>
    <x v="2"/>
  </r>
  <r>
    <s v="TX500679"/>
    <x v="0"/>
    <x v="0"/>
    <n v="20"/>
    <n v="20"/>
    <x v="29"/>
    <d v="2025-02-02T00:00:00"/>
    <x v="2"/>
    <x v="2"/>
    <x v="1"/>
    <x v="0"/>
    <x v="7"/>
    <x v="2"/>
    <x v="4"/>
    <x v="2"/>
  </r>
  <r>
    <s v="TX500680"/>
    <x v="9"/>
    <x v="1"/>
    <n v="40.799999999999997"/>
    <n v="81.599999999999994"/>
    <x v="29"/>
    <d v="2025-02-01T00:00:00"/>
    <x v="2"/>
    <x v="3"/>
    <x v="2"/>
    <x v="0"/>
    <x v="8"/>
    <x v="1"/>
    <x v="4"/>
    <x v="2"/>
  </r>
  <r>
    <s v="TX500681"/>
    <x v="10"/>
    <x v="12"/>
    <n v="58"/>
    <n v="232"/>
    <x v="29"/>
    <d v="2025-02-03T00:00:00"/>
    <x v="2"/>
    <x v="0"/>
    <x v="0"/>
    <x v="0"/>
    <x v="8"/>
    <x v="5"/>
    <x v="4"/>
    <x v="2"/>
  </r>
  <r>
    <s v="TX500682"/>
    <x v="12"/>
    <x v="1"/>
    <n v="43.1"/>
    <n v="86.2"/>
    <x v="29"/>
    <d v="2025-01-31T00:00:00"/>
    <x v="2"/>
    <x v="1"/>
    <x v="2"/>
    <x v="0"/>
    <x v="8"/>
    <x v="3"/>
    <x v="4"/>
    <x v="2"/>
  </r>
  <r>
    <s v="TX500683"/>
    <x v="6"/>
    <x v="11"/>
    <n v="74.7"/>
    <n v="672.30000000000007"/>
    <x v="29"/>
    <d v="2025-02-01T00:00:00"/>
    <x v="1"/>
    <x v="0"/>
    <x v="2"/>
    <x v="0"/>
    <x v="8"/>
    <x v="1"/>
    <x v="4"/>
    <x v="1"/>
  </r>
  <r>
    <s v="TX500684"/>
    <x v="6"/>
    <x v="0"/>
    <n v="128.19999999999999"/>
    <n v="128.19999999999999"/>
    <x v="29"/>
    <d v="2025-01-30T00:00:00"/>
    <x v="1"/>
    <x v="1"/>
    <x v="0"/>
    <x v="0"/>
    <x v="8"/>
    <x v="7"/>
    <x v="4"/>
    <x v="1"/>
  </r>
  <r>
    <s v="TX500685"/>
    <x v="14"/>
    <x v="12"/>
    <n v="26.7"/>
    <n v="106.8"/>
    <x v="29"/>
    <d v="2025-01-31T00:00:00"/>
    <x v="1"/>
    <x v="1"/>
    <x v="0"/>
    <x v="0"/>
    <x v="8"/>
    <x v="3"/>
    <x v="4"/>
    <x v="1"/>
  </r>
  <r>
    <s v="TX500686"/>
    <x v="17"/>
    <x v="13"/>
    <n v="31.5"/>
    <n v="189"/>
    <x v="29"/>
    <d v="2025-01-31T00:00:00"/>
    <x v="2"/>
    <x v="2"/>
    <x v="0"/>
    <x v="0"/>
    <x v="17"/>
    <x v="3"/>
    <x v="4"/>
    <x v="2"/>
  </r>
  <r>
    <s v="TX500687"/>
    <x v="3"/>
    <x v="3"/>
    <n v="64.7"/>
    <n v="452.90000000000003"/>
    <x v="29"/>
    <d v="2025-01-31T00:00:00"/>
    <x v="2"/>
    <x v="0"/>
    <x v="2"/>
    <x v="0"/>
    <x v="9"/>
    <x v="3"/>
    <x v="4"/>
    <x v="2"/>
  </r>
  <r>
    <s v="TX500688"/>
    <x v="5"/>
    <x v="1"/>
    <n v="55.6"/>
    <n v="111.2"/>
    <x v="29"/>
    <d v="2025-02-02T00:00:00"/>
    <x v="2"/>
    <x v="3"/>
    <x v="0"/>
    <x v="0"/>
    <x v="11"/>
    <x v="2"/>
    <x v="4"/>
    <x v="2"/>
  </r>
  <r>
    <s v="TX500689"/>
    <x v="3"/>
    <x v="1"/>
    <n v="36.200000000000003"/>
    <n v="72.400000000000006"/>
    <x v="29"/>
    <d v="2025-01-31T00:00:00"/>
    <x v="2"/>
    <x v="3"/>
    <x v="0"/>
    <x v="0"/>
    <x v="11"/>
    <x v="3"/>
    <x v="4"/>
    <x v="2"/>
  </r>
  <r>
    <s v="TX500690"/>
    <x v="0"/>
    <x v="0"/>
    <n v="26.6"/>
    <n v="26.6"/>
    <x v="29"/>
    <d v="2025-01-31T00:00:00"/>
    <x v="0"/>
    <x v="1"/>
    <x v="1"/>
    <x v="0"/>
    <x v="19"/>
    <x v="3"/>
    <x v="4"/>
    <x v="0"/>
  </r>
  <r>
    <s v="TX500691"/>
    <x v="10"/>
    <x v="12"/>
    <n v="31.5"/>
    <n v="126"/>
    <x v="29"/>
    <d v="2025-02-01T00:00:00"/>
    <x v="1"/>
    <x v="0"/>
    <x v="0"/>
    <x v="0"/>
    <x v="31"/>
    <x v="1"/>
    <x v="4"/>
    <x v="1"/>
  </r>
  <r>
    <s v="TX500692"/>
    <x v="10"/>
    <x v="0"/>
    <n v="27"/>
    <n v="27"/>
    <x v="29"/>
    <d v="2025-02-01T00:00:00"/>
    <x v="2"/>
    <x v="1"/>
    <x v="2"/>
    <x v="0"/>
    <x v="13"/>
    <x v="1"/>
    <x v="4"/>
    <x v="2"/>
  </r>
  <r>
    <s v="TX500693"/>
    <x v="4"/>
    <x v="0"/>
    <n v="32"/>
    <n v="32"/>
    <x v="29"/>
    <d v="2025-02-02T00:00:00"/>
    <x v="1"/>
    <x v="3"/>
    <x v="0"/>
    <x v="0"/>
    <x v="21"/>
    <x v="2"/>
    <x v="4"/>
    <x v="1"/>
  </r>
  <r>
    <s v="TX500694"/>
    <x v="1"/>
    <x v="2"/>
    <n v="48.1"/>
    <n v="144.30000000000001"/>
    <x v="29"/>
    <d v="2025-02-01T00:00:00"/>
    <x v="1"/>
    <x v="2"/>
    <x v="1"/>
    <x v="0"/>
    <x v="1"/>
    <x v="1"/>
    <x v="4"/>
    <x v="1"/>
  </r>
  <r>
    <s v="TX500695"/>
    <x v="9"/>
    <x v="1"/>
    <n v="43.4"/>
    <n v="86.8"/>
    <x v="29"/>
    <d v="2025-01-31T00:00:00"/>
    <x v="1"/>
    <x v="1"/>
    <x v="1"/>
    <x v="0"/>
    <x v="22"/>
    <x v="3"/>
    <x v="4"/>
    <x v="1"/>
  </r>
  <r>
    <s v="TX500696"/>
    <x v="6"/>
    <x v="1"/>
    <n v="42.6"/>
    <n v="85.2"/>
    <x v="29"/>
    <d v="2025-02-02T00:00:00"/>
    <x v="2"/>
    <x v="3"/>
    <x v="0"/>
    <x v="0"/>
    <x v="22"/>
    <x v="2"/>
    <x v="4"/>
    <x v="2"/>
  </r>
  <r>
    <s v="TX500697"/>
    <x v="8"/>
    <x v="1"/>
    <n v="15.9"/>
    <n v="31.8"/>
    <x v="29"/>
    <d v="2025-01-31T00:00:00"/>
    <x v="2"/>
    <x v="0"/>
    <x v="0"/>
    <x v="0"/>
    <x v="34"/>
    <x v="3"/>
    <x v="4"/>
    <x v="2"/>
  </r>
  <r>
    <s v="TX500698"/>
    <x v="9"/>
    <x v="1"/>
    <n v="63.2"/>
    <n v="126.4"/>
    <x v="29"/>
    <d v="2025-01-31T00:00:00"/>
    <x v="1"/>
    <x v="1"/>
    <x v="0"/>
    <x v="0"/>
    <x v="3"/>
    <x v="3"/>
    <x v="4"/>
    <x v="1"/>
  </r>
  <r>
    <s v="TX500699"/>
    <x v="7"/>
    <x v="12"/>
    <n v="64.8"/>
    <n v="259.2"/>
    <x v="29"/>
    <d v="2025-02-01T00:00:00"/>
    <x v="0"/>
    <x v="4"/>
    <x v="1"/>
    <x v="0"/>
    <x v="3"/>
    <x v="1"/>
    <x v="4"/>
    <x v="0"/>
  </r>
  <r>
    <s v="TX500700"/>
    <x v="7"/>
    <x v="2"/>
    <n v="79.8"/>
    <n v="239.39999999999998"/>
    <x v="29"/>
    <d v="2025-01-31T00:00:00"/>
    <x v="1"/>
    <x v="0"/>
    <x v="0"/>
    <x v="0"/>
    <x v="3"/>
    <x v="3"/>
    <x v="4"/>
    <x v="1"/>
  </r>
  <r>
    <s v="TX500701"/>
    <x v="9"/>
    <x v="0"/>
    <n v="54.4"/>
    <n v="54.4"/>
    <x v="29"/>
    <d v="2025-02-01T00:00:00"/>
    <x v="2"/>
    <x v="4"/>
    <x v="2"/>
    <x v="0"/>
    <x v="3"/>
    <x v="1"/>
    <x v="4"/>
    <x v="2"/>
  </r>
  <r>
    <s v="TX500702"/>
    <x v="6"/>
    <x v="0"/>
    <n v="87.3"/>
    <n v="87.3"/>
    <x v="29"/>
    <d v="2025-01-31T00:00:00"/>
    <x v="1"/>
    <x v="1"/>
    <x v="0"/>
    <x v="0"/>
    <x v="3"/>
    <x v="3"/>
    <x v="4"/>
    <x v="1"/>
  </r>
  <r>
    <s v="TX500703"/>
    <x v="8"/>
    <x v="12"/>
    <n v="32.4"/>
    <n v="129.6"/>
    <x v="29"/>
    <d v="2025-01-30T00:00:00"/>
    <x v="1"/>
    <x v="1"/>
    <x v="0"/>
    <x v="0"/>
    <x v="3"/>
    <x v="7"/>
    <x v="4"/>
    <x v="1"/>
  </r>
  <r>
    <s v="TX500704"/>
    <x v="2"/>
    <x v="0"/>
    <n v="177.4"/>
    <n v="177.4"/>
    <x v="29"/>
    <d v="2025-02-03T00:00:00"/>
    <x v="1"/>
    <x v="0"/>
    <x v="2"/>
    <x v="0"/>
    <x v="3"/>
    <x v="5"/>
    <x v="4"/>
    <x v="1"/>
  </r>
  <r>
    <s v="TX500705"/>
    <x v="7"/>
    <x v="1"/>
    <n v="70.099999999999994"/>
    <n v="140.19999999999999"/>
    <x v="29"/>
    <d v="2025-01-31T00:00:00"/>
    <x v="1"/>
    <x v="3"/>
    <x v="1"/>
    <x v="0"/>
    <x v="3"/>
    <x v="3"/>
    <x v="4"/>
    <x v="1"/>
  </r>
  <r>
    <s v="TX500706"/>
    <x v="9"/>
    <x v="13"/>
    <n v="51.1"/>
    <n v="306.60000000000002"/>
    <x v="29"/>
    <d v="2025-01-31T00:00:00"/>
    <x v="2"/>
    <x v="0"/>
    <x v="0"/>
    <x v="0"/>
    <x v="3"/>
    <x v="3"/>
    <x v="4"/>
    <x v="2"/>
  </r>
  <r>
    <s v="TX500707"/>
    <x v="2"/>
    <x v="9"/>
    <n v="79.900000000000006"/>
    <n v="399.5"/>
    <x v="29"/>
    <d v="2025-02-01T00:00:00"/>
    <x v="1"/>
    <x v="3"/>
    <x v="2"/>
    <x v="0"/>
    <x v="24"/>
    <x v="1"/>
    <x v="4"/>
    <x v="1"/>
  </r>
  <r>
    <s v="TX500708"/>
    <x v="6"/>
    <x v="0"/>
    <n v="57.6"/>
    <n v="57.6"/>
    <x v="30"/>
    <d v="2025-02-05T00:00:00"/>
    <x v="1"/>
    <x v="0"/>
    <x v="2"/>
    <x v="0"/>
    <x v="49"/>
    <x v="0"/>
    <x v="4"/>
    <x v="1"/>
  </r>
  <r>
    <s v="TX500709"/>
    <x v="8"/>
    <x v="7"/>
    <n v="59.7"/>
    <n v="597"/>
    <x v="30"/>
    <d v="2025-02-04T00:00:00"/>
    <x v="1"/>
    <x v="2"/>
    <x v="0"/>
    <x v="0"/>
    <x v="25"/>
    <x v="5"/>
    <x v="4"/>
    <x v="1"/>
  </r>
  <r>
    <s v="TX500710"/>
    <x v="8"/>
    <x v="9"/>
    <n v="30"/>
    <n v="150"/>
    <x v="30"/>
    <d v="2025-02-02T00:00:00"/>
    <x v="1"/>
    <x v="1"/>
    <x v="0"/>
    <x v="0"/>
    <x v="6"/>
    <x v="1"/>
    <x v="4"/>
    <x v="1"/>
  </r>
  <r>
    <s v="TX500711"/>
    <x v="10"/>
    <x v="1"/>
    <n v="69.2"/>
    <n v="138.4"/>
    <x v="30"/>
    <d v="2025-02-02T00:00:00"/>
    <x v="0"/>
    <x v="2"/>
    <x v="1"/>
    <x v="0"/>
    <x v="6"/>
    <x v="1"/>
    <x v="4"/>
    <x v="0"/>
  </r>
  <r>
    <s v="TX500712"/>
    <x v="0"/>
    <x v="8"/>
    <n v="10.9"/>
    <n v="87.2"/>
    <x v="30"/>
    <d v="2025-02-01T00:00:00"/>
    <x v="2"/>
    <x v="0"/>
    <x v="2"/>
    <x v="0"/>
    <x v="6"/>
    <x v="3"/>
    <x v="4"/>
    <x v="2"/>
  </r>
  <r>
    <s v="TX500713"/>
    <x v="16"/>
    <x v="1"/>
    <n v="48.6"/>
    <n v="97.2"/>
    <x v="30"/>
    <d v="2025-02-04T00:00:00"/>
    <x v="1"/>
    <x v="1"/>
    <x v="2"/>
    <x v="0"/>
    <x v="6"/>
    <x v="5"/>
    <x v="4"/>
    <x v="1"/>
  </r>
  <r>
    <s v="TX500714"/>
    <x v="2"/>
    <x v="1"/>
    <n v="61.1"/>
    <n v="122.2"/>
    <x v="30"/>
    <d v="2025-02-03T00:00:00"/>
    <x v="2"/>
    <x v="1"/>
    <x v="2"/>
    <x v="0"/>
    <x v="7"/>
    <x v="2"/>
    <x v="4"/>
    <x v="2"/>
  </r>
  <r>
    <s v="TX500715"/>
    <x v="8"/>
    <x v="1"/>
    <n v="23.2"/>
    <n v="46.4"/>
    <x v="30"/>
    <d v="2025-02-01T00:00:00"/>
    <x v="1"/>
    <x v="3"/>
    <x v="2"/>
    <x v="0"/>
    <x v="8"/>
    <x v="3"/>
    <x v="4"/>
    <x v="1"/>
  </r>
  <r>
    <s v="TX500716"/>
    <x v="12"/>
    <x v="12"/>
    <n v="55.8"/>
    <n v="223.2"/>
    <x v="30"/>
    <d v="2025-02-01T00:00:00"/>
    <x v="1"/>
    <x v="0"/>
    <x v="0"/>
    <x v="0"/>
    <x v="8"/>
    <x v="3"/>
    <x v="4"/>
    <x v="1"/>
  </r>
  <r>
    <s v="TX500717"/>
    <x v="9"/>
    <x v="12"/>
    <n v="24.8"/>
    <n v="99.2"/>
    <x v="30"/>
    <d v="2025-02-01T00:00:00"/>
    <x v="2"/>
    <x v="0"/>
    <x v="2"/>
    <x v="0"/>
    <x v="8"/>
    <x v="3"/>
    <x v="4"/>
    <x v="2"/>
  </r>
  <r>
    <s v="TX500718"/>
    <x v="10"/>
    <x v="1"/>
    <n v="27.9"/>
    <n v="55.8"/>
    <x v="30"/>
    <d v="2025-01-31T00:00:00"/>
    <x v="1"/>
    <x v="2"/>
    <x v="2"/>
    <x v="0"/>
    <x v="8"/>
    <x v="7"/>
    <x v="4"/>
    <x v="1"/>
  </r>
  <r>
    <s v="TX500719"/>
    <x v="10"/>
    <x v="13"/>
    <n v="51.1"/>
    <n v="306.60000000000002"/>
    <x v="30"/>
    <d v="2025-01-31T00:00:00"/>
    <x v="2"/>
    <x v="3"/>
    <x v="0"/>
    <x v="0"/>
    <x v="8"/>
    <x v="7"/>
    <x v="4"/>
    <x v="2"/>
  </r>
  <r>
    <s v="TX500720"/>
    <x v="17"/>
    <x v="5"/>
    <n v="32.700000000000003"/>
    <n v="359.70000000000005"/>
    <x v="30"/>
    <d v="2025-02-01T00:00:00"/>
    <x v="1"/>
    <x v="4"/>
    <x v="2"/>
    <x v="0"/>
    <x v="17"/>
    <x v="3"/>
    <x v="4"/>
    <x v="1"/>
  </r>
  <r>
    <s v="TX500721"/>
    <x v="8"/>
    <x v="12"/>
    <n v="22.5"/>
    <n v="90"/>
    <x v="30"/>
    <d v="2025-01-31T00:00:00"/>
    <x v="1"/>
    <x v="0"/>
    <x v="2"/>
    <x v="0"/>
    <x v="26"/>
    <x v="7"/>
    <x v="4"/>
    <x v="1"/>
  </r>
  <r>
    <s v="TX500722"/>
    <x v="0"/>
    <x v="3"/>
    <n v="14.6"/>
    <n v="102.2"/>
    <x v="30"/>
    <d v="2025-02-01T00:00:00"/>
    <x v="2"/>
    <x v="2"/>
    <x v="0"/>
    <x v="0"/>
    <x v="41"/>
    <x v="3"/>
    <x v="4"/>
    <x v="2"/>
  </r>
  <r>
    <s v="TX500723"/>
    <x v="5"/>
    <x v="2"/>
    <n v="32.5"/>
    <n v="97.5"/>
    <x v="30"/>
    <d v="2025-02-03T00:00:00"/>
    <x v="1"/>
    <x v="0"/>
    <x v="0"/>
    <x v="0"/>
    <x v="10"/>
    <x v="2"/>
    <x v="4"/>
    <x v="1"/>
  </r>
  <r>
    <s v="TX500724"/>
    <x v="18"/>
    <x v="0"/>
    <n v="78.099999999999994"/>
    <n v="78.099999999999994"/>
    <x v="30"/>
    <d v="2025-02-03T00:00:00"/>
    <x v="1"/>
    <x v="0"/>
    <x v="2"/>
    <x v="0"/>
    <x v="11"/>
    <x v="2"/>
    <x v="4"/>
    <x v="1"/>
  </r>
  <r>
    <s v="TX500725"/>
    <x v="12"/>
    <x v="13"/>
    <n v="110.2"/>
    <n v="661.2"/>
    <x v="30"/>
    <d v="2025-01-31T00:00:00"/>
    <x v="1"/>
    <x v="1"/>
    <x v="4"/>
    <x v="0"/>
    <x v="13"/>
    <x v="7"/>
    <x v="4"/>
    <x v="1"/>
  </r>
  <r>
    <s v="TX500726"/>
    <x v="6"/>
    <x v="2"/>
    <n v="86.3"/>
    <n v="258.89999999999998"/>
    <x v="30"/>
    <d v="2025-02-02T00:00:00"/>
    <x v="2"/>
    <x v="3"/>
    <x v="0"/>
    <x v="0"/>
    <x v="21"/>
    <x v="1"/>
    <x v="4"/>
    <x v="2"/>
  </r>
  <r>
    <s v="TX500727"/>
    <x v="1"/>
    <x v="13"/>
    <n v="73.599999999999994"/>
    <n v="441.59999999999997"/>
    <x v="30"/>
    <d v="2025-02-02T00:00:00"/>
    <x v="3"/>
    <x v="3"/>
    <x v="4"/>
    <x v="0"/>
    <x v="44"/>
    <x v="1"/>
    <x v="4"/>
    <x v="3"/>
  </r>
  <r>
    <s v="TX500728"/>
    <x v="6"/>
    <x v="15"/>
    <n v="67.7"/>
    <n v="880.1"/>
    <x v="30"/>
    <d v="2025-02-02T00:00:00"/>
    <x v="2"/>
    <x v="0"/>
    <x v="2"/>
    <x v="0"/>
    <x v="3"/>
    <x v="1"/>
    <x v="4"/>
    <x v="2"/>
  </r>
  <r>
    <s v="TX500729"/>
    <x v="7"/>
    <x v="13"/>
    <n v="142.19999999999999"/>
    <n v="853.19999999999993"/>
    <x v="30"/>
    <d v="2025-02-01T00:00:00"/>
    <x v="2"/>
    <x v="2"/>
    <x v="4"/>
    <x v="0"/>
    <x v="3"/>
    <x v="3"/>
    <x v="4"/>
    <x v="2"/>
  </r>
  <r>
    <s v="TX500730"/>
    <x v="1"/>
    <x v="11"/>
    <n v="45.8"/>
    <n v="412.2"/>
    <x v="30"/>
    <d v="2025-02-02T00:00:00"/>
    <x v="2"/>
    <x v="1"/>
    <x v="2"/>
    <x v="0"/>
    <x v="3"/>
    <x v="1"/>
    <x v="4"/>
    <x v="2"/>
  </r>
  <r>
    <s v="TX500731"/>
    <x v="10"/>
    <x v="1"/>
    <n v="24.2"/>
    <n v="48.4"/>
    <x v="31"/>
    <d v="2025-02-04T00:00:00"/>
    <x v="2"/>
    <x v="3"/>
    <x v="2"/>
    <x v="0"/>
    <x v="3"/>
    <x v="2"/>
    <x v="4"/>
    <x v="2"/>
  </r>
  <r>
    <s v="TX500732"/>
    <x v="2"/>
    <x v="2"/>
    <n v="144.9"/>
    <n v="434.70000000000005"/>
    <x v="31"/>
    <d v="2025-02-02T00:00:00"/>
    <x v="3"/>
    <x v="2"/>
    <x v="2"/>
    <x v="0"/>
    <x v="3"/>
    <x v="3"/>
    <x v="4"/>
    <x v="3"/>
  </r>
  <r>
    <s v="TX500733"/>
    <x v="11"/>
    <x v="9"/>
    <n v="32.799999999999997"/>
    <n v="164"/>
    <x v="31"/>
    <d v="2025-02-04T00:00:00"/>
    <x v="2"/>
    <x v="2"/>
    <x v="0"/>
    <x v="0"/>
    <x v="23"/>
    <x v="2"/>
    <x v="4"/>
    <x v="2"/>
  </r>
  <r>
    <s v="TX500734"/>
    <x v="7"/>
    <x v="7"/>
    <n v="35.700000000000003"/>
    <n v="357"/>
    <x v="31"/>
    <d v="2025-02-01T00:00:00"/>
    <x v="2"/>
    <x v="0"/>
    <x v="1"/>
    <x v="0"/>
    <x v="6"/>
    <x v="7"/>
    <x v="4"/>
    <x v="2"/>
  </r>
  <r>
    <s v="TX500735"/>
    <x v="9"/>
    <x v="1"/>
    <n v="54.6"/>
    <n v="109.2"/>
    <x v="31"/>
    <d v="2025-02-02T00:00:00"/>
    <x v="2"/>
    <x v="2"/>
    <x v="0"/>
    <x v="0"/>
    <x v="6"/>
    <x v="3"/>
    <x v="4"/>
    <x v="2"/>
  </r>
  <r>
    <s v="TX500736"/>
    <x v="8"/>
    <x v="1"/>
    <n v="35.700000000000003"/>
    <n v="71.400000000000006"/>
    <x v="31"/>
    <d v="2025-02-04T00:00:00"/>
    <x v="0"/>
    <x v="0"/>
    <x v="1"/>
    <x v="0"/>
    <x v="6"/>
    <x v="2"/>
    <x v="4"/>
    <x v="0"/>
  </r>
  <r>
    <s v="TX500737"/>
    <x v="10"/>
    <x v="1"/>
    <n v="52.4"/>
    <n v="104.8"/>
    <x v="31"/>
    <d v="2025-02-01T00:00:00"/>
    <x v="2"/>
    <x v="0"/>
    <x v="3"/>
    <x v="0"/>
    <x v="6"/>
    <x v="7"/>
    <x v="4"/>
    <x v="2"/>
  </r>
  <r>
    <s v="TX500738"/>
    <x v="8"/>
    <x v="21"/>
    <n v="16.2"/>
    <n v="226.79999999999998"/>
    <x v="31"/>
    <d v="2025-02-02T00:00:00"/>
    <x v="0"/>
    <x v="0"/>
    <x v="1"/>
    <x v="0"/>
    <x v="8"/>
    <x v="3"/>
    <x v="4"/>
    <x v="0"/>
  </r>
  <r>
    <s v="TX500739"/>
    <x v="6"/>
    <x v="35"/>
    <n v="42.8"/>
    <n v="2011.6"/>
    <x v="31"/>
    <d v="2025-02-02T00:00:00"/>
    <x v="2"/>
    <x v="0"/>
    <x v="0"/>
    <x v="0"/>
    <x v="8"/>
    <x v="3"/>
    <x v="4"/>
    <x v="2"/>
  </r>
  <r>
    <s v="TX500740"/>
    <x v="6"/>
    <x v="11"/>
    <n v="144.4"/>
    <n v="1299.6000000000001"/>
    <x v="31"/>
    <d v="2025-02-04T00:00:00"/>
    <x v="2"/>
    <x v="4"/>
    <x v="0"/>
    <x v="0"/>
    <x v="8"/>
    <x v="2"/>
    <x v="4"/>
    <x v="2"/>
  </r>
  <r>
    <s v="TX500741"/>
    <x v="3"/>
    <x v="34"/>
    <n v="30.6"/>
    <n v="1101.6000000000001"/>
    <x v="31"/>
    <d v="2025-02-05T00:00:00"/>
    <x v="2"/>
    <x v="2"/>
    <x v="2"/>
    <x v="0"/>
    <x v="11"/>
    <x v="5"/>
    <x v="4"/>
    <x v="2"/>
  </r>
  <r>
    <s v="TX500742"/>
    <x v="2"/>
    <x v="1"/>
    <n v="117.5"/>
    <n v="235"/>
    <x v="31"/>
    <d v="2025-02-02T00:00:00"/>
    <x v="1"/>
    <x v="0"/>
    <x v="0"/>
    <x v="0"/>
    <x v="19"/>
    <x v="3"/>
    <x v="4"/>
    <x v="1"/>
  </r>
  <r>
    <s v="TX500743"/>
    <x v="6"/>
    <x v="1"/>
    <n v="105.7"/>
    <n v="211.4"/>
    <x v="31"/>
    <d v="2025-02-02T00:00:00"/>
    <x v="2"/>
    <x v="2"/>
    <x v="2"/>
    <x v="0"/>
    <x v="21"/>
    <x v="3"/>
    <x v="4"/>
    <x v="2"/>
  </r>
  <r>
    <s v="TX500744"/>
    <x v="3"/>
    <x v="2"/>
    <n v="133.69999999999999"/>
    <n v="401.09999999999997"/>
    <x v="31"/>
    <d v="2025-02-02T00:00:00"/>
    <x v="0"/>
    <x v="4"/>
    <x v="2"/>
    <x v="0"/>
    <x v="21"/>
    <x v="3"/>
    <x v="4"/>
    <x v="0"/>
  </r>
  <r>
    <s v="TX500745"/>
    <x v="4"/>
    <x v="9"/>
    <n v="46.8"/>
    <n v="234"/>
    <x v="32"/>
    <d v="2025-02-10T00:00:00"/>
    <x v="2"/>
    <x v="0"/>
    <x v="1"/>
    <x v="0"/>
    <x v="21"/>
    <x v="9"/>
    <x v="5"/>
    <x v="2"/>
  </r>
  <r>
    <s v="TX500746"/>
    <x v="10"/>
    <x v="2"/>
    <n v="58.4"/>
    <n v="175.2"/>
    <x v="32"/>
    <d v="2025-02-04T00:00:00"/>
    <x v="2"/>
    <x v="0"/>
    <x v="0"/>
    <x v="0"/>
    <x v="1"/>
    <x v="1"/>
    <x v="5"/>
    <x v="2"/>
  </r>
  <r>
    <s v="TX500747"/>
    <x v="6"/>
    <x v="11"/>
    <n v="65.099999999999994"/>
    <n v="585.9"/>
    <x v="32"/>
    <d v="2025-02-06T00:00:00"/>
    <x v="1"/>
    <x v="1"/>
    <x v="2"/>
    <x v="0"/>
    <x v="22"/>
    <x v="5"/>
    <x v="5"/>
    <x v="1"/>
  </r>
  <r>
    <s v="TX500748"/>
    <x v="8"/>
    <x v="0"/>
    <n v="18.600000000000001"/>
    <n v="18.600000000000001"/>
    <x v="32"/>
    <d v="2025-02-05T00:00:00"/>
    <x v="2"/>
    <x v="0"/>
    <x v="4"/>
    <x v="0"/>
    <x v="22"/>
    <x v="2"/>
    <x v="5"/>
    <x v="2"/>
  </r>
  <r>
    <s v="TX500749"/>
    <x v="1"/>
    <x v="5"/>
    <n v="92.3"/>
    <n v="1015.3"/>
    <x v="32"/>
    <d v="2025-02-04T00:00:00"/>
    <x v="1"/>
    <x v="1"/>
    <x v="0"/>
    <x v="0"/>
    <x v="3"/>
    <x v="1"/>
    <x v="5"/>
    <x v="1"/>
  </r>
  <r>
    <s v="TX500750"/>
    <x v="6"/>
    <x v="2"/>
    <n v="81.7"/>
    <n v="245.10000000000002"/>
    <x v="32"/>
    <d v="2025-02-03T00:00:00"/>
    <x v="0"/>
    <x v="4"/>
    <x v="4"/>
    <x v="0"/>
    <x v="3"/>
    <x v="3"/>
    <x v="5"/>
    <x v="0"/>
  </r>
  <r>
    <s v="TX500751"/>
    <x v="8"/>
    <x v="1"/>
    <n v="40.9"/>
    <n v="81.8"/>
    <x v="32"/>
    <d v="2025-02-04T00:00:00"/>
    <x v="1"/>
    <x v="0"/>
    <x v="1"/>
    <x v="0"/>
    <x v="3"/>
    <x v="1"/>
    <x v="5"/>
    <x v="1"/>
  </r>
  <r>
    <s v="TX500752"/>
    <x v="6"/>
    <x v="12"/>
    <n v="43.2"/>
    <n v="172.8"/>
    <x v="32"/>
    <d v="2025-02-08T00:00:00"/>
    <x v="2"/>
    <x v="0"/>
    <x v="1"/>
    <x v="0"/>
    <x v="3"/>
    <x v="4"/>
    <x v="5"/>
    <x v="2"/>
  </r>
  <r>
    <s v="TX500753"/>
    <x v="8"/>
    <x v="5"/>
    <n v="25.8"/>
    <n v="283.8"/>
    <x v="32"/>
    <d v="2025-02-05T00:00:00"/>
    <x v="1"/>
    <x v="2"/>
    <x v="1"/>
    <x v="0"/>
    <x v="3"/>
    <x v="2"/>
    <x v="5"/>
    <x v="1"/>
  </r>
  <r>
    <s v="TX500754"/>
    <x v="15"/>
    <x v="12"/>
    <n v="36.4"/>
    <n v="145.6"/>
    <x v="32"/>
    <d v="2025-02-03T00:00:00"/>
    <x v="1"/>
    <x v="0"/>
    <x v="0"/>
    <x v="0"/>
    <x v="3"/>
    <x v="3"/>
    <x v="5"/>
    <x v="1"/>
  </r>
  <r>
    <s v="TX500755"/>
    <x v="10"/>
    <x v="0"/>
    <n v="59.1"/>
    <n v="59.1"/>
    <x v="32"/>
    <d v="2025-02-03T00:00:00"/>
    <x v="2"/>
    <x v="2"/>
    <x v="0"/>
    <x v="0"/>
    <x v="7"/>
    <x v="3"/>
    <x v="5"/>
    <x v="2"/>
  </r>
  <r>
    <s v="TX500756"/>
    <x v="2"/>
    <x v="14"/>
    <n v="74.5"/>
    <n v="1266.5"/>
    <x v="32"/>
    <d v="2025-02-04T00:00:00"/>
    <x v="1"/>
    <x v="4"/>
    <x v="0"/>
    <x v="0"/>
    <x v="18"/>
    <x v="1"/>
    <x v="5"/>
    <x v="1"/>
  </r>
  <r>
    <s v="TX500757"/>
    <x v="5"/>
    <x v="0"/>
    <n v="72.8"/>
    <n v="72.8"/>
    <x v="32"/>
    <d v="2025-02-03T00:00:00"/>
    <x v="2"/>
    <x v="0"/>
    <x v="1"/>
    <x v="0"/>
    <x v="19"/>
    <x v="3"/>
    <x v="5"/>
    <x v="2"/>
  </r>
  <r>
    <s v="TX500758"/>
    <x v="6"/>
    <x v="12"/>
    <n v="137.30000000000001"/>
    <n v="549.20000000000005"/>
    <x v="32"/>
    <d v="2025-02-05T00:00:00"/>
    <x v="2"/>
    <x v="0"/>
    <x v="0"/>
    <x v="0"/>
    <x v="13"/>
    <x v="2"/>
    <x v="5"/>
    <x v="2"/>
  </r>
  <r>
    <s v="TX500759"/>
    <x v="1"/>
    <x v="2"/>
    <n v="48.7"/>
    <n v="146.10000000000002"/>
    <x v="32"/>
    <d v="2025-02-07T00:00:00"/>
    <x v="2"/>
    <x v="0"/>
    <x v="1"/>
    <x v="0"/>
    <x v="21"/>
    <x v="0"/>
    <x v="5"/>
    <x v="2"/>
  </r>
  <r>
    <s v="TX500760"/>
    <x v="6"/>
    <x v="12"/>
    <n v="53.7"/>
    <n v="214.8"/>
    <x v="32"/>
    <d v="2025-02-06T00:00:00"/>
    <x v="1"/>
    <x v="1"/>
    <x v="4"/>
    <x v="0"/>
    <x v="2"/>
    <x v="5"/>
    <x v="5"/>
    <x v="1"/>
  </r>
  <r>
    <s v="TX500761"/>
    <x v="2"/>
    <x v="3"/>
    <n v="100.9"/>
    <n v="706.30000000000007"/>
    <x v="32"/>
    <d v="2025-02-04T00:00:00"/>
    <x v="2"/>
    <x v="0"/>
    <x v="1"/>
    <x v="0"/>
    <x v="2"/>
    <x v="1"/>
    <x v="5"/>
    <x v="2"/>
  </r>
  <r>
    <s v="TX500762"/>
    <x v="10"/>
    <x v="1"/>
    <n v="41.8"/>
    <n v="83.6"/>
    <x v="32"/>
    <d v="2025-02-06T00:00:00"/>
    <x v="1"/>
    <x v="3"/>
    <x v="2"/>
    <x v="0"/>
    <x v="22"/>
    <x v="5"/>
    <x v="5"/>
    <x v="1"/>
  </r>
  <r>
    <s v="TX500763"/>
    <x v="4"/>
    <x v="8"/>
    <n v="28.5"/>
    <n v="228"/>
    <x v="32"/>
    <d v="2025-02-04T00:00:00"/>
    <x v="1"/>
    <x v="2"/>
    <x v="1"/>
    <x v="0"/>
    <x v="3"/>
    <x v="1"/>
    <x v="5"/>
    <x v="1"/>
  </r>
  <r>
    <s v="TX500764"/>
    <x v="7"/>
    <x v="12"/>
    <n v="88.9"/>
    <n v="355.6"/>
    <x v="32"/>
    <d v="2025-02-05T00:00:00"/>
    <x v="2"/>
    <x v="0"/>
    <x v="2"/>
    <x v="0"/>
    <x v="3"/>
    <x v="2"/>
    <x v="5"/>
    <x v="2"/>
  </r>
  <r>
    <s v="TX500765"/>
    <x v="6"/>
    <x v="0"/>
    <n v="62.5"/>
    <n v="62.5"/>
    <x v="32"/>
    <d v="2025-02-11T00:00:00"/>
    <x v="2"/>
    <x v="0"/>
    <x v="2"/>
    <x v="0"/>
    <x v="3"/>
    <x v="8"/>
    <x v="5"/>
    <x v="2"/>
  </r>
  <r>
    <s v="TX500766"/>
    <x v="1"/>
    <x v="2"/>
    <n v="46.9"/>
    <n v="140.69999999999999"/>
    <x v="32"/>
    <d v="2025-02-03T00:00:00"/>
    <x v="1"/>
    <x v="0"/>
    <x v="2"/>
    <x v="0"/>
    <x v="3"/>
    <x v="3"/>
    <x v="5"/>
    <x v="1"/>
  </r>
  <r>
    <s v="TX500767"/>
    <x v="8"/>
    <x v="2"/>
    <n v="45"/>
    <n v="135"/>
    <x v="32"/>
    <d v="2025-02-16T00:00:00"/>
    <x v="1"/>
    <x v="1"/>
    <x v="0"/>
    <x v="0"/>
    <x v="3"/>
    <x v="12"/>
    <x v="5"/>
    <x v="1"/>
  </r>
  <r>
    <s v="TX500768"/>
    <x v="6"/>
    <x v="2"/>
    <n v="45.2"/>
    <n v="135.60000000000002"/>
    <x v="32"/>
    <d v="2025-02-04T00:00:00"/>
    <x v="1"/>
    <x v="4"/>
    <x v="2"/>
    <x v="0"/>
    <x v="3"/>
    <x v="1"/>
    <x v="5"/>
    <x v="1"/>
  </r>
  <r>
    <s v="TX500769"/>
    <x v="4"/>
    <x v="1"/>
    <n v="60.1"/>
    <n v="120.2"/>
    <x v="32"/>
    <d v="2025-02-03T00:00:00"/>
    <x v="2"/>
    <x v="0"/>
    <x v="2"/>
    <x v="0"/>
    <x v="3"/>
    <x v="3"/>
    <x v="5"/>
    <x v="2"/>
  </r>
  <r>
    <s v="TX500770"/>
    <x v="12"/>
    <x v="12"/>
    <n v="118.7"/>
    <n v="474.8"/>
    <x v="32"/>
    <d v="2025-02-04T00:00:00"/>
    <x v="2"/>
    <x v="0"/>
    <x v="0"/>
    <x v="0"/>
    <x v="3"/>
    <x v="1"/>
    <x v="5"/>
    <x v="2"/>
  </r>
  <r>
    <s v="TX500771"/>
    <x v="9"/>
    <x v="0"/>
    <n v="57.8"/>
    <n v="57.8"/>
    <x v="32"/>
    <d v="2025-02-11T00:00:00"/>
    <x v="2"/>
    <x v="1"/>
    <x v="0"/>
    <x v="0"/>
    <x v="3"/>
    <x v="8"/>
    <x v="5"/>
    <x v="2"/>
  </r>
  <r>
    <s v="TX500772"/>
    <x v="4"/>
    <x v="0"/>
    <n v="19.5"/>
    <n v="19.5"/>
    <x v="32"/>
    <d v="2025-02-03T00:00:00"/>
    <x v="1"/>
    <x v="1"/>
    <x v="1"/>
    <x v="0"/>
    <x v="3"/>
    <x v="3"/>
    <x v="5"/>
    <x v="1"/>
  </r>
  <r>
    <s v="TX500773"/>
    <x v="12"/>
    <x v="0"/>
    <n v="42.6"/>
    <n v="42.6"/>
    <x v="32"/>
    <d v="2025-02-03T00:00:00"/>
    <x v="1"/>
    <x v="0"/>
    <x v="1"/>
    <x v="0"/>
    <x v="3"/>
    <x v="3"/>
    <x v="5"/>
    <x v="1"/>
  </r>
  <r>
    <s v="TX500774"/>
    <x v="6"/>
    <x v="1"/>
    <n v="74.8"/>
    <n v="149.6"/>
    <x v="32"/>
    <d v="2025-02-03T00:00:00"/>
    <x v="2"/>
    <x v="3"/>
    <x v="2"/>
    <x v="0"/>
    <x v="37"/>
    <x v="3"/>
    <x v="5"/>
    <x v="2"/>
  </r>
  <r>
    <s v="TX500775"/>
    <x v="8"/>
    <x v="2"/>
    <n v="32.5"/>
    <n v="97.5"/>
    <x v="32"/>
    <d v="2025-02-03T00:00:00"/>
    <x v="1"/>
    <x v="2"/>
    <x v="4"/>
    <x v="0"/>
    <x v="16"/>
    <x v="3"/>
    <x v="5"/>
    <x v="1"/>
  </r>
  <r>
    <s v="TX500776"/>
    <x v="2"/>
    <x v="2"/>
    <n v="60.5"/>
    <n v="181.5"/>
    <x v="32"/>
    <d v="2025-02-02T00:00:00"/>
    <x v="2"/>
    <x v="1"/>
    <x v="2"/>
    <x v="0"/>
    <x v="25"/>
    <x v="7"/>
    <x v="5"/>
    <x v="2"/>
  </r>
  <r>
    <s v="TX500777"/>
    <x v="1"/>
    <x v="3"/>
    <n v="57.2"/>
    <n v="400.40000000000003"/>
    <x v="32"/>
    <d v="2025-02-04T00:00:00"/>
    <x v="0"/>
    <x v="2"/>
    <x v="0"/>
    <x v="0"/>
    <x v="25"/>
    <x v="1"/>
    <x v="5"/>
    <x v="0"/>
  </r>
  <r>
    <s v="TX500778"/>
    <x v="16"/>
    <x v="1"/>
    <n v="112"/>
    <n v="224"/>
    <x v="32"/>
    <d v="2025-02-03T00:00:00"/>
    <x v="2"/>
    <x v="1"/>
    <x v="1"/>
    <x v="0"/>
    <x v="5"/>
    <x v="3"/>
    <x v="5"/>
    <x v="2"/>
  </r>
  <r>
    <s v="TX500779"/>
    <x v="7"/>
    <x v="7"/>
    <n v="49"/>
    <n v="490"/>
    <x v="32"/>
    <d v="2025-02-03T00:00:00"/>
    <x v="3"/>
    <x v="2"/>
    <x v="1"/>
    <x v="0"/>
    <x v="6"/>
    <x v="3"/>
    <x v="5"/>
    <x v="3"/>
  </r>
  <r>
    <s v="TX500780"/>
    <x v="0"/>
    <x v="1"/>
    <n v="33.700000000000003"/>
    <n v="67.400000000000006"/>
    <x v="32"/>
    <d v="2025-02-06T00:00:00"/>
    <x v="2"/>
    <x v="3"/>
    <x v="0"/>
    <x v="0"/>
    <x v="6"/>
    <x v="5"/>
    <x v="5"/>
    <x v="2"/>
  </r>
  <r>
    <s v="TX500781"/>
    <x v="4"/>
    <x v="2"/>
    <n v="35.6"/>
    <n v="106.80000000000001"/>
    <x v="32"/>
    <d v="2025-02-05T00:00:00"/>
    <x v="2"/>
    <x v="0"/>
    <x v="2"/>
    <x v="0"/>
    <x v="6"/>
    <x v="2"/>
    <x v="5"/>
    <x v="2"/>
  </r>
  <r>
    <s v="TX500782"/>
    <x v="4"/>
    <x v="36"/>
    <n v="30.4"/>
    <n v="1064"/>
    <x v="33"/>
    <d v="2025-02-03T00:00:00"/>
    <x v="2"/>
    <x v="0"/>
    <x v="1"/>
    <x v="0"/>
    <x v="7"/>
    <x v="7"/>
    <x v="5"/>
    <x v="2"/>
  </r>
  <r>
    <s v="TX500783"/>
    <x v="10"/>
    <x v="4"/>
    <n v="50.2"/>
    <n v="602.40000000000009"/>
    <x v="33"/>
    <d v="2025-02-04T00:00:00"/>
    <x v="1"/>
    <x v="4"/>
    <x v="0"/>
    <x v="0"/>
    <x v="8"/>
    <x v="3"/>
    <x v="5"/>
    <x v="1"/>
  </r>
  <r>
    <s v="TX500784"/>
    <x v="1"/>
    <x v="1"/>
    <n v="43.7"/>
    <n v="87.4"/>
    <x v="33"/>
    <d v="2025-02-05T00:00:00"/>
    <x v="2"/>
    <x v="0"/>
    <x v="0"/>
    <x v="0"/>
    <x v="8"/>
    <x v="1"/>
    <x v="5"/>
    <x v="2"/>
  </r>
  <r>
    <s v="TX500785"/>
    <x v="10"/>
    <x v="0"/>
    <n v="33.299999999999997"/>
    <n v="33.299999999999997"/>
    <x v="33"/>
    <d v="2025-02-04T00:00:00"/>
    <x v="2"/>
    <x v="2"/>
    <x v="1"/>
    <x v="0"/>
    <x v="8"/>
    <x v="3"/>
    <x v="5"/>
    <x v="2"/>
  </r>
  <r>
    <s v="TX500786"/>
    <x v="8"/>
    <x v="12"/>
    <n v="15.1"/>
    <n v="60.4"/>
    <x v="33"/>
    <d v="2025-02-05T00:00:00"/>
    <x v="2"/>
    <x v="4"/>
    <x v="2"/>
    <x v="0"/>
    <x v="8"/>
    <x v="1"/>
    <x v="5"/>
    <x v="2"/>
  </r>
  <r>
    <s v="TX500787"/>
    <x v="6"/>
    <x v="9"/>
    <n v="118.2"/>
    <n v="591"/>
    <x v="33"/>
    <d v="2025-02-04T00:00:00"/>
    <x v="2"/>
    <x v="3"/>
    <x v="4"/>
    <x v="0"/>
    <x v="8"/>
    <x v="3"/>
    <x v="5"/>
    <x v="2"/>
  </r>
  <r>
    <s v="TX500788"/>
    <x v="10"/>
    <x v="2"/>
    <n v="28.9"/>
    <n v="86.699999999999989"/>
    <x v="33"/>
    <d v="2025-02-05T00:00:00"/>
    <x v="2"/>
    <x v="2"/>
    <x v="1"/>
    <x v="0"/>
    <x v="8"/>
    <x v="1"/>
    <x v="5"/>
    <x v="2"/>
  </r>
  <r>
    <s v="TX500789"/>
    <x v="4"/>
    <x v="2"/>
    <n v="55.6"/>
    <n v="166.8"/>
    <x v="33"/>
    <d v="2025-02-04T00:00:00"/>
    <x v="1"/>
    <x v="0"/>
    <x v="1"/>
    <x v="0"/>
    <x v="8"/>
    <x v="3"/>
    <x v="5"/>
    <x v="1"/>
  </r>
  <r>
    <s v="TX500790"/>
    <x v="9"/>
    <x v="12"/>
    <n v="25.6"/>
    <n v="102.4"/>
    <x v="33"/>
    <d v="2025-02-05T00:00:00"/>
    <x v="2"/>
    <x v="0"/>
    <x v="1"/>
    <x v="0"/>
    <x v="8"/>
    <x v="1"/>
    <x v="5"/>
    <x v="2"/>
  </r>
  <r>
    <s v="TX500791"/>
    <x v="7"/>
    <x v="2"/>
    <n v="31.3"/>
    <n v="93.9"/>
    <x v="33"/>
    <d v="2025-02-04T00:00:00"/>
    <x v="1"/>
    <x v="0"/>
    <x v="0"/>
    <x v="0"/>
    <x v="17"/>
    <x v="3"/>
    <x v="5"/>
    <x v="1"/>
  </r>
  <r>
    <s v="TX500792"/>
    <x v="0"/>
    <x v="2"/>
    <n v="22.1"/>
    <n v="66.300000000000011"/>
    <x v="33"/>
    <d v="2025-02-07T00:00:00"/>
    <x v="1"/>
    <x v="0"/>
    <x v="0"/>
    <x v="0"/>
    <x v="17"/>
    <x v="5"/>
    <x v="5"/>
    <x v="1"/>
  </r>
  <r>
    <s v="TX500793"/>
    <x v="2"/>
    <x v="21"/>
    <n v="99.4"/>
    <n v="1391.6000000000001"/>
    <x v="33"/>
    <d v="2025-02-04T00:00:00"/>
    <x v="1"/>
    <x v="1"/>
    <x v="0"/>
    <x v="0"/>
    <x v="11"/>
    <x v="3"/>
    <x v="5"/>
    <x v="1"/>
  </r>
  <r>
    <s v="TX500794"/>
    <x v="7"/>
    <x v="13"/>
    <n v="66.599999999999994"/>
    <n v="399.59999999999997"/>
    <x v="33"/>
    <d v="2025-02-04T00:00:00"/>
    <x v="2"/>
    <x v="0"/>
    <x v="0"/>
    <x v="0"/>
    <x v="11"/>
    <x v="3"/>
    <x v="5"/>
    <x v="2"/>
  </r>
  <r>
    <s v="TX500795"/>
    <x v="8"/>
    <x v="1"/>
    <n v="22.6"/>
    <n v="45.2"/>
    <x v="33"/>
    <d v="2025-02-06T00:00:00"/>
    <x v="1"/>
    <x v="0"/>
    <x v="0"/>
    <x v="0"/>
    <x v="11"/>
    <x v="2"/>
    <x v="5"/>
    <x v="1"/>
  </r>
  <r>
    <s v="TX500796"/>
    <x v="2"/>
    <x v="16"/>
    <n v="66.8"/>
    <n v="1202.3999999999999"/>
    <x v="33"/>
    <d v="2025-02-04T00:00:00"/>
    <x v="2"/>
    <x v="0"/>
    <x v="4"/>
    <x v="0"/>
    <x v="13"/>
    <x v="3"/>
    <x v="5"/>
    <x v="2"/>
  </r>
  <r>
    <s v="TX500797"/>
    <x v="0"/>
    <x v="12"/>
    <n v="20.8"/>
    <n v="83.2"/>
    <x v="33"/>
    <d v="2025-02-10T00:00:00"/>
    <x v="1"/>
    <x v="1"/>
    <x v="4"/>
    <x v="0"/>
    <x v="1"/>
    <x v="6"/>
    <x v="5"/>
    <x v="1"/>
  </r>
  <r>
    <s v="TX500798"/>
    <x v="2"/>
    <x v="3"/>
    <n v="102.5"/>
    <n v="717.5"/>
    <x v="33"/>
    <d v="2025-02-04T00:00:00"/>
    <x v="2"/>
    <x v="4"/>
    <x v="2"/>
    <x v="0"/>
    <x v="3"/>
    <x v="3"/>
    <x v="5"/>
    <x v="2"/>
  </r>
  <r>
    <s v="TX500799"/>
    <x v="0"/>
    <x v="16"/>
    <n v="24.8"/>
    <n v="446.40000000000003"/>
    <x v="33"/>
    <d v="2025-02-07T00:00:00"/>
    <x v="2"/>
    <x v="0"/>
    <x v="0"/>
    <x v="0"/>
    <x v="3"/>
    <x v="5"/>
    <x v="5"/>
    <x v="2"/>
  </r>
  <r>
    <s v="TX500800"/>
    <x v="4"/>
    <x v="37"/>
    <n v="31.4"/>
    <n v="973.4"/>
    <x v="33"/>
    <d v="2025-02-04T00:00:00"/>
    <x v="2"/>
    <x v="3"/>
    <x v="0"/>
    <x v="0"/>
    <x v="3"/>
    <x v="3"/>
    <x v="5"/>
    <x v="2"/>
  </r>
  <r>
    <s v="TX500801"/>
    <x v="9"/>
    <x v="9"/>
    <n v="59.3"/>
    <n v="296.5"/>
    <x v="33"/>
    <d v="2025-02-06T00:00:00"/>
    <x v="1"/>
    <x v="1"/>
    <x v="2"/>
    <x v="0"/>
    <x v="43"/>
    <x v="2"/>
    <x v="5"/>
    <x v="1"/>
  </r>
  <r>
    <s v="TX500802"/>
    <x v="11"/>
    <x v="13"/>
    <n v="39"/>
    <n v="234"/>
    <x v="33"/>
    <d v="2025-02-06T00:00:00"/>
    <x v="1"/>
    <x v="1"/>
    <x v="0"/>
    <x v="0"/>
    <x v="6"/>
    <x v="2"/>
    <x v="5"/>
    <x v="1"/>
  </r>
  <r>
    <s v="TX500803"/>
    <x v="5"/>
    <x v="13"/>
    <n v="98.6"/>
    <n v="591.59999999999991"/>
    <x v="33"/>
    <d v="2025-02-05T00:00:00"/>
    <x v="2"/>
    <x v="1"/>
    <x v="0"/>
    <x v="0"/>
    <x v="6"/>
    <x v="1"/>
    <x v="5"/>
    <x v="2"/>
  </r>
  <r>
    <s v="TX500804"/>
    <x v="8"/>
    <x v="0"/>
    <n v="20"/>
    <n v="20"/>
    <x v="34"/>
    <d v="2025-02-05T00:00:00"/>
    <x v="1"/>
    <x v="3"/>
    <x v="2"/>
    <x v="0"/>
    <x v="8"/>
    <x v="3"/>
    <x v="5"/>
    <x v="1"/>
  </r>
  <r>
    <s v="TX500805"/>
    <x v="1"/>
    <x v="1"/>
    <n v="42.9"/>
    <n v="85.8"/>
    <x v="34"/>
    <d v="2025-02-06T00:00:00"/>
    <x v="2"/>
    <x v="0"/>
    <x v="2"/>
    <x v="0"/>
    <x v="8"/>
    <x v="1"/>
    <x v="5"/>
    <x v="2"/>
  </r>
  <r>
    <s v="TX500806"/>
    <x v="7"/>
    <x v="3"/>
    <n v="55.6"/>
    <n v="389.2"/>
    <x v="34"/>
    <d v="2025-02-06T00:00:00"/>
    <x v="2"/>
    <x v="2"/>
    <x v="1"/>
    <x v="0"/>
    <x v="8"/>
    <x v="1"/>
    <x v="5"/>
    <x v="2"/>
  </r>
  <r>
    <s v="TX500807"/>
    <x v="8"/>
    <x v="12"/>
    <n v="19.2"/>
    <n v="76.8"/>
    <x v="34"/>
    <d v="2025-02-09T00:00:00"/>
    <x v="2"/>
    <x v="0"/>
    <x v="0"/>
    <x v="0"/>
    <x v="41"/>
    <x v="0"/>
    <x v="5"/>
    <x v="2"/>
  </r>
  <r>
    <s v="TX500808"/>
    <x v="5"/>
    <x v="1"/>
    <n v="28.8"/>
    <n v="57.6"/>
    <x v="34"/>
    <d v="2025-02-06T00:00:00"/>
    <x v="1"/>
    <x v="1"/>
    <x v="0"/>
    <x v="0"/>
    <x v="18"/>
    <x v="1"/>
    <x v="5"/>
    <x v="1"/>
  </r>
  <r>
    <s v="TX500809"/>
    <x v="4"/>
    <x v="0"/>
    <n v="29.7"/>
    <n v="29.7"/>
    <x v="34"/>
    <d v="2025-02-06T00:00:00"/>
    <x v="2"/>
    <x v="2"/>
    <x v="4"/>
    <x v="0"/>
    <x v="20"/>
    <x v="1"/>
    <x v="5"/>
    <x v="2"/>
  </r>
  <r>
    <s v="TX500810"/>
    <x v="6"/>
    <x v="13"/>
    <n v="63.3"/>
    <n v="379.79999999999995"/>
    <x v="34"/>
    <d v="2025-02-05T00:00:00"/>
    <x v="0"/>
    <x v="0"/>
    <x v="2"/>
    <x v="0"/>
    <x v="21"/>
    <x v="3"/>
    <x v="5"/>
    <x v="0"/>
  </r>
  <r>
    <s v="TX500811"/>
    <x v="4"/>
    <x v="0"/>
    <n v="46"/>
    <n v="46"/>
    <x v="34"/>
    <d v="2025-02-05T00:00:00"/>
    <x v="2"/>
    <x v="0"/>
    <x v="2"/>
    <x v="0"/>
    <x v="21"/>
    <x v="3"/>
    <x v="5"/>
    <x v="2"/>
  </r>
  <r>
    <s v="TX500812"/>
    <x v="11"/>
    <x v="2"/>
    <n v="38"/>
    <n v="114"/>
    <x v="34"/>
    <d v="2025-02-06T00:00:00"/>
    <x v="2"/>
    <x v="1"/>
    <x v="2"/>
    <x v="0"/>
    <x v="21"/>
    <x v="1"/>
    <x v="5"/>
    <x v="2"/>
  </r>
  <r>
    <s v="TX500813"/>
    <x v="10"/>
    <x v="15"/>
    <n v="34.6"/>
    <n v="449.8"/>
    <x v="34"/>
    <d v="2025-02-06T00:00:00"/>
    <x v="2"/>
    <x v="0"/>
    <x v="1"/>
    <x v="0"/>
    <x v="21"/>
    <x v="1"/>
    <x v="5"/>
    <x v="2"/>
  </r>
  <r>
    <s v="TX500814"/>
    <x v="3"/>
    <x v="7"/>
    <n v="79.7"/>
    <n v="797"/>
    <x v="34"/>
    <d v="2025-02-05T00:00:00"/>
    <x v="2"/>
    <x v="4"/>
    <x v="1"/>
    <x v="0"/>
    <x v="21"/>
    <x v="3"/>
    <x v="5"/>
    <x v="2"/>
  </r>
  <r>
    <s v="TX500815"/>
    <x v="8"/>
    <x v="8"/>
    <n v="30.5"/>
    <n v="244"/>
    <x v="34"/>
    <d v="2025-02-08T00:00:00"/>
    <x v="1"/>
    <x v="3"/>
    <x v="0"/>
    <x v="0"/>
    <x v="1"/>
    <x v="5"/>
    <x v="5"/>
    <x v="1"/>
  </r>
  <r>
    <s v="TX500816"/>
    <x v="0"/>
    <x v="1"/>
    <n v="20.8"/>
    <n v="41.6"/>
    <x v="34"/>
    <d v="2025-02-05T00:00:00"/>
    <x v="2"/>
    <x v="0"/>
    <x v="0"/>
    <x v="0"/>
    <x v="2"/>
    <x v="3"/>
    <x v="5"/>
    <x v="2"/>
  </r>
  <r>
    <s v="TX500817"/>
    <x v="11"/>
    <x v="3"/>
    <n v="48.5"/>
    <n v="339.5"/>
    <x v="34"/>
    <d v="2025-02-08T00:00:00"/>
    <x v="2"/>
    <x v="2"/>
    <x v="2"/>
    <x v="0"/>
    <x v="2"/>
    <x v="5"/>
    <x v="5"/>
    <x v="2"/>
  </r>
  <r>
    <s v="TX500818"/>
    <x v="2"/>
    <x v="12"/>
    <n v="61.8"/>
    <n v="247.2"/>
    <x v="34"/>
    <d v="2025-02-08T00:00:00"/>
    <x v="2"/>
    <x v="4"/>
    <x v="0"/>
    <x v="0"/>
    <x v="22"/>
    <x v="5"/>
    <x v="5"/>
    <x v="2"/>
  </r>
  <r>
    <s v="TX500819"/>
    <x v="10"/>
    <x v="0"/>
    <n v="46.1"/>
    <n v="46.1"/>
    <x v="34"/>
    <d v="2025-02-05T00:00:00"/>
    <x v="3"/>
    <x v="2"/>
    <x v="0"/>
    <x v="0"/>
    <x v="3"/>
    <x v="3"/>
    <x v="5"/>
    <x v="3"/>
  </r>
  <r>
    <s v="TX500820"/>
    <x v="4"/>
    <x v="13"/>
    <n v="44"/>
    <n v="264"/>
    <x v="34"/>
    <d v="2025-02-05T00:00:00"/>
    <x v="2"/>
    <x v="0"/>
    <x v="0"/>
    <x v="0"/>
    <x v="3"/>
    <x v="3"/>
    <x v="5"/>
    <x v="2"/>
  </r>
  <r>
    <s v="TX500821"/>
    <x v="18"/>
    <x v="1"/>
    <n v="95.7"/>
    <n v="191.4"/>
    <x v="34"/>
    <d v="2025-02-10T00:00:00"/>
    <x v="2"/>
    <x v="3"/>
    <x v="2"/>
    <x v="0"/>
    <x v="3"/>
    <x v="4"/>
    <x v="5"/>
    <x v="2"/>
  </r>
  <r>
    <s v="TX500822"/>
    <x v="7"/>
    <x v="9"/>
    <n v="46.4"/>
    <n v="232"/>
    <x v="34"/>
    <d v="2025-02-07T00:00:00"/>
    <x v="2"/>
    <x v="0"/>
    <x v="0"/>
    <x v="0"/>
    <x v="3"/>
    <x v="2"/>
    <x v="5"/>
    <x v="2"/>
  </r>
  <r>
    <s v="TX500823"/>
    <x v="6"/>
    <x v="1"/>
    <n v="47.2"/>
    <n v="94.4"/>
    <x v="34"/>
    <d v="2025-02-06T00:00:00"/>
    <x v="2"/>
    <x v="0"/>
    <x v="2"/>
    <x v="0"/>
    <x v="3"/>
    <x v="1"/>
    <x v="5"/>
    <x v="2"/>
  </r>
  <r>
    <s v="TX500824"/>
    <x v="7"/>
    <x v="1"/>
    <n v="58.6"/>
    <n v="117.2"/>
    <x v="34"/>
    <d v="2025-02-05T00:00:00"/>
    <x v="2"/>
    <x v="2"/>
    <x v="1"/>
    <x v="0"/>
    <x v="3"/>
    <x v="3"/>
    <x v="5"/>
    <x v="2"/>
  </r>
  <r>
    <s v="TX500825"/>
    <x v="4"/>
    <x v="2"/>
    <n v="57"/>
    <n v="171"/>
    <x v="34"/>
    <d v="2025-02-05T00:00:00"/>
    <x v="1"/>
    <x v="0"/>
    <x v="2"/>
    <x v="0"/>
    <x v="3"/>
    <x v="3"/>
    <x v="5"/>
    <x v="1"/>
  </r>
  <r>
    <s v="TX500826"/>
    <x v="8"/>
    <x v="12"/>
    <n v="28.9"/>
    <n v="115.6"/>
    <x v="34"/>
    <d v="2025-02-08T00:00:00"/>
    <x v="1"/>
    <x v="2"/>
    <x v="0"/>
    <x v="0"/>
    <x v="3"/>
    <x v="5"/>
    <x v="5"/>
    <x v="1"/>
  </r>
  <r>
    <s v="TX500827"/>
    <x v="12"/>
    <x v="9"/>
    <n v="60.7"/>
    <n v="303.5"/>
    <x v="34"/>
    <d v="2025-02-08T00:00:00"/>
    <x v="0"/>
    <x v="1"/>
    <x v="1"/>
    <x v="0"/>
    <x v="3"/>
    <x v="5"/>
    <x v="5"/>
    <x v="0"/>
  </r>
  <r>
    <s v="TX500828"/>
    <x v="6"/>
    <x v="9"/>
    <n v="60.8"/>
    <n v="304"/>
    <x v="34"/>
    <d v="2025-02-08T00:00:00"/>
    <x v="1"/>
    <x v="0"/>
    <x v="1"/>
    <x v="0"/>
    <x v="3"/>
    <x v="5"/>
    <x v="5"/>
    <x v="1"/>
  </r>
  <r>
    <s v="TX500829"/>
    <x v="6"/>
    <x v="9"/>
    <n v="64.599999999999994"/>
    <n v="323"/>
    <x v="34"/>
    <d v="2025-02-05T00:00:00"/>
    <x v="2"/>
    <x v="3"/>
    <x v="0"/>
    <x v="0"/>
    <x v="3"/>
    <x v="3"/>
    <x v="5"/>
    <x v="2"/>
  </r>
  <r>
    <s v="TX500830"/>
    <x v="8"/>
    <x v="0"/>
    <n v="21.9"/>
    <n v="21.9"/>
    <x v="34"/>
    <d v="2025-02-07T00:00:00"/>
    <x v="1"/>
    <x v="1"/>
    <x v="2"/>
    <x v="0"/>
    <x v="4"/>
    <x v="2"/>
    <x v="5"/>
    <x v="1"/>
  </r>
  <r>
    <s v="TX500831"/>
    <x v="4"/>
    <x v="4"/>
    <n v="33.4"/>
    <n v="400.79999999999995"/>
    <x v="34"/>
    <d v="2025-02-06T00:00:00"/>
    <x v="2"/>
    <x v="0"/>
    <x v="0"/>
    <x v="0"/>
    <x v="23"/>
    <x v="1"/>
    <x v="5"/>
    <x v="2"/>
  </r>
  <r>
    <s v="TX500832"/>
    <x v="2"/>
    <x v="0"/>
    <n v="51.7"/>
    <n v="51.7"/>
    <x v="34"/>
    <d v="2025-02-05T00:00:00"/>
    <x v="0"/>
    <x v="0"/>
    <x v="0"/>
    <x v="0"/>
    <x v="6"/>
    <x v="3"/>
    <x v="5"/>
    <x v="0"/>
  </r>
  <r>
    <s v="TX500833"/>
    <x v="1"/>
    <x v="12"/>
    <n v="84.9"/>
    <n v="339.6"/>
    <x v="34"/>
    <d v="2025-02-05T00:00:00"/>
    <x v="2"/>
    <x v="1"/>
    <x v="1"/>
    <x v="0"/>
    <x v="6"/>
    <x v="3"/>
    <x v="5"/>
    <x v="2"/>
  </r>
  <r>
    <s v="TX500834"/>
    <x v="1"/>
    <x v="5"/>
    <n v="62.3"/>
    <n v="685.3"/>
    <x v="34"/>
    <d v="2025-02-05T00:00:00"/>
    <x v="2"/>
    <x v="2"/>
    <x v="2"/>
    <x v="0"/>
    <x v="7"/>
    <x v="3"/>
    <x v="5"/>
    <x v="2"/>
  </r>
  <r>
    <s v="TX500835"/>
    <x v="4"/>
    <x v="0"/>
    <n v="50.7"/>
    <n v="50.7"/>
    <x v="34"/>
    <d v="2025-02-06T00:00:00"/>
    <x v="1"/>
    <x v="2"/>
    <x v="2"/>
    <x v="0"/>
    <x v="8"/>
    <x v="1"/>
    <x v="5"/>
    <x v="1"/>
  </r>
  <r>
    <s v="TX500836"/>
    <x v="18"/>
    <x v="0"/>
    <n v="39.5"/>
    <n v="39.5"/>
    <x v="34"/>
    <d v="2025-02-05T00:00:00"/>
    <x v="1"/>
    <x v="4"/>
    <x v="1"/>
    <x v="0"/>
    <x v="8"/>
    <x v="3"/>
    <x v="5"/>
    <x v="1"/>
  </r>
  <r>
    <s v="TX500837"/>
    <x v="12"/>
    <x v="2"/>
    <n v="30.9"/>
    <n v="92.699999999999989"/>
    <x v="34"/>
    <d v="2025-02-05T00:00:00"/>
    <x v="0"/>
    <x v="4"/>
    <x v="2"/>
    <x v="0"/>
    <x v="8"/>
    <x v="3"/>
    <x v="5"/>
    <x v="0"/>
  </r>
  <r>
    <s v="TX500838"/>
    <x v="1"/>
    <x v="3"/>
    <n v="36.4"/>
    <n v="254.79999999999998"/>
    <x v="34"/>
    <d v="2025-02-07T00:00:00"/>
    <x v="2"/>
    <x v="0"/>
    <x v="2"/>
    <x v="0"/>
    <x v="8"/>
    <x v="2"/>
    <x v="5"/>
    <x v="2"/>
  </r>
  <r>
    <s v="TX500839"/>
    <x v="6"/>
    <x v="8"/>
    <n v="105.6"/>
    <n v="844.8"/>
    <x v="34"/>
    <d v="2025-02-14T00:00:00"/>
    <x v="2"/>
    <x v="0"/>
    <x v="0"/>
    <x v="0"/>
    <x v="8"/>
    <x v="14"/>
    <x v="5"/>
    <x v="2"/>
  </r>
  <r>
    <s v="TX500840"/>
    <x v="8"/>
    <x v="1"/>
    <n v="22.1"/>
    <n v="44.2"/>
    <x v="34"/>
    <d v="2025-02-05T00:00:00"/>
    <x v="2"/>
    <x v="0"/>
    <x v="2"/>
    <x v="0"/>
    <x v="17"/>
    <x v="3"/>
    <x v="5"/>
    <x v="2"/>
  </r>
  <r>
    <s v="TX500841"/>
    <x v="0"/>
    <x v="2"/>
    <n v="22.6"/>
    <n v="67.800000000000011"/>
    <x v="34"/>
    <d v="2025-02-05T00:00:00"/>
    <x v="2"/>
    <x v="2"/>
    <x v="0"/>
    <x v="0"/>
    <x v="17"/>
    <x v="3"/>
    <x v="5"/>
    <x v="2"/>
  </r>
  <r>
    <s v="TX500842"/>
    <x v="10"/>
    <x v="13"/>
    <n v="26.3"/>
    <n v="157.80000000000001"/>
    <x v="34"/>
    <d v="2025-02-04T00:00:00"/>
    <x v="2"/>
    <x v="2"/>
    <x v="0"/>
    <x v="0"/>
    <x v="9"/>
    <x v="7"/>
    <x v="5"/>
    <x v="2"/>
  </r>
  <r>
    <s v="TX500843"/>
    <x v="1"/>
    <x v="12"/>
    <n v="37.799999999999997"/>
    <n v="151.19999999999999"/>
    <x v="34"/>
    <d v="2025-02-05T00:00:00"/>
    <x v="2"/>
    <x v="0"/>
    <x v="2"/>
    <x v="0"/>
    <x v="11"/>
    <x v="3"/>
    <x v="5"/>
    <x v="2"/>
  </r>
  <r>
    <s v="TX500844"/>
    <x v="6"/>
    <x v="14"/>
    <n v="96"/>
    <n v="1632"/>
    <x v="34"/>
    <d v="2025-02-07T00:00:00"/>
    <x v="2"/>
    <x v="4"/>
    <x v="1"/>
    <x v="0"/>
    <x v="18"/>
    <x v="2"/>
    <x v="5"/>
    <x v="2"/>
  </r>
  <r>
    <s v="TX500845"/>
    <x v="1"/>
    <x v="0"/>
    <n v="83.6"/>
    <n v="83.6"/>
    <x v="34"/>
    <d v="2025-02-07T00:00:00"/>
    <x v="2"/>
    <x v="2"/>
    <x v="1"/>
    <x v="0"/>
    <x v="19"/>
    <x v="2"/>
    <x v="5"/>
    <x v="2"/>
  </r>
  <r>
    <s v="TX500846"/>
    <x v="2"/>
    <x v="13"/>
    <n v="72.599999999999994"/>
    <n v="435.59999999999997"/>
    <x v="34"/>
    <d v="2025-02-05T00:00:00"/>
    <x v="2"/>
    <x v="0"/>
    <x v="0"/>
    <x v="0"/>
    <x v="21"/>
    <x v="3"/>
    <x v="5"/>
    <x v="2"/>
  </r>
  <r>
    <s v="TX500847"/>
    <x v="5"/>
    <x v="28"/>
    <n v="69.099999999999994"/>
    <n v="1382"/>
    <x v="35"/>
    <d v="2025-02-11T00:00:00"/>
    <x v="1"/>
    <x v="0"/>
    <x v="2"/>
    <x v="0"/>
    <x v="21"/>
    <x v="4"/>
    <x v="5"/>
    <x v="1"/>
  </r>
  <r>
    <s v="TX500848"/>
    <x v="4"/>
    <x v="1"/>
    <n v="22.6"/>
    <n v="45.2"/>
    <x v="35"/>
    <d v="2025-02-07T00:00:00"/>
    <x v="2"/>
    <x v="1"/>
    <x v="2"/>
    <x v="0"/>
    <x v="21"/>
    <x v="1"/>
    <x v="5"/>
    <x v="2"/>
  </r>
  <r>
    <s v="TX500849"/>
    <x v="6"/>
    <x v="1"/>
    <n v="45.3"/>
    <n v="90.6"/>
    <x v="35"/>
    <d v="2025-02-09T00:00:00"/>
    <x v="1"/>
    <x v="4"/>
    <x v="2"/>
    <x v="0"/>
    <x v="21"/>
    <x v="5"/>
    <x v="5"/>
    <x v="1"/>
  </r>
  <r>
    <s v="TX500850"/>
    <x v="2"/>
    <x v="1"/>
    <n v="115.1"/>
    <n v="230.2"/>
    <x v="35"/>
    <d v="2025-02-06T00:00:00"/>
    <x v="2"/>
    <x v="1"/>
    <x v="0"/>
    <x v="0"/>
    <x v="1"/>
    <x v="3"/>
    <x v="5"/>
    <x v="2"/>
  </r>
  <r>
    <s v="TX500851"/>
    <x v="18"/>
    <x v="12"/>
    <n v="79"/>
    <n v="316"/>
    <x v="35"/>
    <d v="2025-02-07T00:00:00"/>
    <x v="1"/>
    <x v="2"/>
    <x v="4"/>
    <x v="0"/>
    <x v="1"/>
    <x v="1"/>
    <x v="5"/>
    <x v="1"/>
  </r>
  <r>
    <s v="TX500852"/>
    <x v="6"/>
    <x v="9"/>
    <n v="52.8"/>
    <n v="264"/>
    <x v="35"/>
    <d v="2025-02-06T00:00:00"/>
    <x v="2"/>
    <x v="0"/>
    <x v="0"/>
    <x v="0"/>
    <x v="42"/>
    <x v="3"/>
    <x v="5"/>
    <x v="2"/>
  </r>
  <r>
    <s v="TX500853"/>
    <x v="8"/>
    <x v="1"/>
    <n v="34.1"/>
    <n v="68.2"/>
    <x v="35"/>
    <d v="2025-02-06T00:00:00"/>
    <x v="1"/>
    <x v="3"/>
    <x v="2"/>
    <x v="0"/>
    <x v="44"/>
    <x v="3"/>
    <x v="5"/>
    <x v="1"/>
  </r>
  <r>
    <s v="TX500854"/>
    <x v="6"/>
    <x v="9"/>
    <n v="107.9"/>
    <n v="539.5"/>
    <x v="35"/>
    <d v="2025-02-05T00:00:00"/>
    <x v="2"/>
    <x v="0"/>
    <x v="2"/>
    <x v="0"/>
    <x v="50"/>
    <x v="7"/>
    <x v="5"/>
    <x v="2"/>
  </r>
  <r>
    <s v="TX500855"/>
    <x v="8"/>
    <x v="15"/>
    <n v="48.5"/>
    <n v="630.5"/>
    <x v="35"/>
    <d v="2025-02-05T00:00:00"/>
    <x v="1"/>
    <x v="2"/>
    <x v="2"/>
    <x v="0"/>
    <x v="3"/>
    <x v="7"/>
    <x v="5"/>
    <x v="1"/>
  </r>
  <r>
    <s v="TX500856"/>
    <x v="5"/>
    <x v="2"/>
    <n v="34.700000000000003"/>
    <n v="104.10000000000001"/>
    <x v="35"/>
    <d v="2025-02-06T00:00:00"/>
    <x v="0"/>
    <x v="4"/>
    <x v="1"/>
    <x v="0"/>
    <x v="3"/>
    <x v="3"/>
    <x v="5"/>
    <x v="0"/>
  </r>
  <r>
    <s v="TX500857"/>
    <x v="8"/>
    <x v="0"/>
    <n v="16.8"/>
    <n v="16.8"/>
    <x v="35"/>
    <d v="2025-02-07T00:00:00"/>
    <x v="2"/>
    <x v="3"/>
    <x v="0"/>
    <x v="0"/>
    <x v="3"/>
    <x v="1"/>
    <x v="5"/>
    <x v="2"/>
  </r>
  <r>
    <s v="TX500858"/>
    <x v="8"/>
    <x v="13"/>
    <n v="18.3"/>
    <n v="109.80000000000001"/>
    <x v="35"/>
    <d v="2025-02-08T00:00:00"/>
    <x v="2"/>
    <x v="0"/>
    <x v="0"/>
    <x v="0"/>
    <x v="3"/>
    <x v="2"/>
    <x v="5"/>
    <x v="2"/>
  </r>
  <r>
    <s v="TX500859"/>
    <x v="18"/>
    <x v="2"/>
    <n v="55.9"/>
    <n v="167.7"/>
    <x v="35"/>
    <d v="2025-02-11T00:00:00"/>
    <x v="1"/>
    <x v="3"/>
    <x v="1"/>
    <x v="0"/>
    <x v="3"/>
    <x v="4"/>
    <x v="5"/>
    <x v="1"/>
  </r>
  <r>
    <s v="TX500860"/>
    <x v="8"/>
    <x v="2"/>
    <n v="39.200000000000003"/>
    <n v="117.60000000000001"/>
    <x v="35"/>
    <d v="2025-02-07T00:00:00"/>
    <x v="2"/>
    <x v="0"/>
    <x v="1"/>
    <x v="0"/>
    <x v="3"/>
    <x v="1"/>
    <x v="5"/>
    <x v="2"/>
  </r>
  <r>
    <s v="TX500861"/>
    <x v="15"/>
    <x v="12"/>
    <n v="66.5"/>
    <n v="266"/>
    <x v="35"/>
    <d v="2025-02-07T00:00:00"/>
    <x v="0"/>
    <x v="3"/>
    <x v="1"/>
    <x v="0"/>
    <x v="3"/>
    <x v="1"/>
    <x v="5"/>
    <x v="0"/>
  </r>
  <r>
    <s v="TX500862"/>
    <x v="6"/>
    <x v="13"/>
    <n v="52.1"/>
    <n v="312.60000000000002"/>
    <x v="35"/>
    <d v="2025-02-07T00:00:00"/>
    <x v="1"/>
    <x v="1"/>
    <x v="1"/>
    <x v="0"/>
    <x v="16"/>
    <x v="1"/>
    <x v="5"/>
    <x v="1"/>
  </r>
  <r>
    <s v="TX500863"/>
    <x v="8"/>
    <x v="1"/>
    <n v="19"/>
    <n v="38"/>
    <x v="35"/>
    <d v="2025-02-06T00:00:00"/>
    <x v="1"/>
    <x v="4"/>
    <x v="2"/>
    <x v="0"/>
    <x v="6"/>
    <x v="3"/>
    <x v="5"/>
    <x v="1"/>
  </r>
  <r>
    <s v="TX500864"/>
    <x v="7"/>
    <x v="2"/>
    <n v="84.8"/>
    <n v="254.39999999999998"/>
    <x v="35"/>
    <d v="2025-02-07T00:00:00"/>
    <x v="2"/>
    <x v="2"/>
    <x v="0"/>
    <x v="0"/>
    <x v="8"/>
    <x v="1"/>
    <x v="5"/>
    <x v="2"/>
  </r>
  <r>
    <s v="TX500865"/>
    <x v="2"/>
    <x v="12"/>
    <n v="63.9"/>
    <n v="255.6"/>
    <x v="35"/>
    <d v="2025-02-08T00:00:00"/>
    <x v="2"/>
    <x v="0"/>
    <x v="0"/>
    <x v="0"/>
    <x v="8"/>
    <x v="2"/>
    <x v="5"/>
    <x v="2"/>
  </r>
  <r>
    <s v="TX500866"/>
    <x v="2"/>
    <x v="2"/>
    <n v="65.5"/>
    <n v="196.5"/>
    <x v="35"/>
    <d v="2025-02-05T00:00:00"/>
    <x v="2"/>
    <x v="1"/>
    <x v="1"/>
    <x v="0"/>
    <x v="8"/>
    <x v="7"/>
    <x v="5"/>
    <x v="2"/>
  </r>
  <r>
    <s v="TX500867"/>
    <x v="12"/>
    <x v="1"/>
    <n v="116.2"/>
    <n v="232.4"/>
    <x v="35"/>
    <d v="2025-02-11T00:00:00"/>
    <x v="1"/>
    <x v="3"/>
    <x v="0"/>
    <x v="0"/>
    <x v="17"/>
    <x v="4"/>
    <x v="5"/>
    <x v="1"/>
  </r>
  <r>
    <s v="TX500868"/>
    <x v="10"/>
    <x v="12"/>
    <n v="22.9"/>
    <n v="91.6"/>
    <x v="35"/>
    <d v="2025-02-07T00:00:00"/>
    <x v="2"/>
    <x v="2"/>
    <x v="1"/>
    <x v="0"/>
    <x v="38"/>
    <x v="1"/>
    <x v="5"/>
    <x v="2"/>
  </r>
  <r>
    <s v="TX500869"/>
    <x v="10"/>
    <x v="2"/>
    <n v="53.7"/>
    <n v="161.10000000000002"/>
    <x v="35"/>
    <d v="2025-02-06T00:00:00"/>
    <x v="1"/>
    <x v="0"/>
    <x v="4"/>
    <x v="0"/>
    <x v="18"/>
    <x v="3"/>
    <x v="5"/>
    <x v="1"/>
  </r>
  <r>
    <s v="TX500870"/>
    <x v="6"/>
    <x v="9"/>
    <n v="43.2"/>
    <n v="216"/>
    <x v="35"/>
    <d v="2025-02-07T00:00:00"/>
    <x v="2"/>
    <x v="0"/>
    <x v="0"/>
    <x v="0"/>
    <x v="19"/>
    <x v="1"/>
    <x v="5"/>
    <x v="2"/>
  </r>
  <r>
    <s v="TX500871"/>
    <x v="1"/>
    <x v="2"/>
    <n v="84.5"/>
    <n v="253.5"/>
    <x v="35"/>
    <d v="2025-02-07T00:00:00"/>
    <x v="1"/>
    <x v="2"/>
    <x v="2"/>
    <x v="0"/>
    <x v="51"/>
    <x v="1"/>
    <x v="5"/>
    <x v="1"/>
  </r>
  <r>
    <s v="TX500872"/>
    <x v="3"/>
    <x v="1"/>
    <n v="42.2"/>
    <n v="84.4"/>
    <x v="35"/>
    <d v="2025-02-06T00:00:00"/>
    <x v="2"/>
    <x v="1"/>
    <x v="2"/>
    <x v="0"/>
    <x v="1"/>
    <x v="3"/>
    <x v="5"/>
    <x v="2"/>
  </r>
  <r>
    <s v="TX500873"/>
    <x v="2"/>
    <x v="13"/>
    <n v="94.7"/>
    <n v="568.20000000000005"/>
    <x v="35"/>
    <d v="2025-02-08T00:00:00"/>
    <x v="2"/>
    <x v="1"/>
    <x v="2"/>
    <x v="0"/>
    <x v="2"/>
    <x v="2"/>
    <x v="5"/>
    <x v="2"/>
  </r>
  <r>
    <s v="TX500874"/>
    <x v="8"/>
    <x v="16"/>
    <n v="16.7"/>
    <n v="300.59999999999997"/>
    <x v="35"/>
    <d v="2025-02-17T00:00:00"/>
    <x v="2"/>
    <x v="0"/>
    <x v="2"/>
    <x v="0"/>
    <x v="2"/>
    <x v="13"/>
    <x v="5"/>
    <x v="2"/>
  </r>
  <r>
    <s v="TX500875"/>
    <x v="2"/>
    <x v="1"/>
    <n v="83.6"/>
    <n v="167.2"/>
    <x v="35"/>
    <d v="2025-02-11T00:00:00"/>
    <x v="2"/>
    <x v="1"/>
    <x v="0"/>
    <x v="0"/>
    <x v="3"/>
    <x v="4"/>
    <x v="5"/>
    <x v="2"/>
  </r>
  <r>
    <s v="TX500876"/>
    <x v="7"/>
    <x v="13"/>
    <n v="33.6"/>
    <n v="201.60000000000002"/>
    <x v="36"/>
    <d v="2025-02-07T00:00:00"/>
    <x v="2"/>
    <x v="3"/>
    <x v="0"/>
    <x v="0"/>
    <x v="3"/>
    <x v="3"/>
    <x v="5"/>
    <x v="2"/>
  </r>
  <r>
    <s v="TX500877"/>
    <x v="7"/>
    <x v="1"/>
    <n v="64.7"/>
    <n v="129.4"/>
    <x v="36"/>
    <d v="2025-02-08T00:00:00"/>
    <x v="1"/>
    <x v="1"/>
    <x v="2"/>
    <x v="0"/>
    <x v="3"/>
    <x v="1"/>
    <x v="5"/>
    <x v="1"/>
  </r>
  <r>
    <s v="TX500878"/>
    <x v="0"/>
    <x v="2"/>
    <n v="15.7"/>
    <n v="47.099999999999994"/>
    <x v="36"/>
    <d v="2025-02-12T00:00:00"/>
    <x v="2"/>
    <x v="0"/>
    <x v="0"/>
    <x v="0"/>
    <x v="3"/>
    <x v="4"/>
    <x v="5"/>
    <x v="2"/>
  </r>
  <r>
    <s v="TX500879"/>
    <x v="15"/>
    <x v="13"/>
    <n v="49.4"/>
    <n v="296.39999999999998"/>
    <x v="36"/>
    <d v="2025-02-06T00:00:00"/>
    <x v="1"/>
    <x v="1"/>
    <x v="0"/>
    <x v="0"/>
    <x v="3"/>
    <x v="7"/>
    <x v="5"/>
    <x v="1"/>
  </r>
  <r>
    <s v="TX500880"/>
    <x v="10"/>
    <x v="13"/>
    <n v="37"/>
    <n v="222"/>
    <x v="36"/>
    <d v="2025-02-09T00:00:00"/>
    <x v="2"/>
    <x v="1"/>
    <x v="2"/>
    <x v="0"/>
    <x v="3"/>
    <x v="2"/>
    <x v="5"/>
    <x v="2"/>
  </r>
  <r>
    <s v="TX500881"/>
    <x v="2"/>
    <x v="1"/>
    <n v="83.7"/>
    <n v="167.4"/>
    <x v="36"/>
    <d v="2025-02-08T00:00:00"/>
    <x v="2"/>
    <x v="3"/>
    <x v="2"/>
    <x v="0"/>
    <x v="3"/>
    <x v="1"/>
    <x v="5"/>
    <x v="2"/>
  </r>
  <r>
    <s v="TX500882"/>
    <x v="1"/>
    <x v="9"/>
    <n v="35.1"/>
    <n v="175.5"/>
    <x v="36"/>
    <d v="2025-02-07T00:00:00"/>
    <x v="2"/>
    <x v="0"/>
    <x v="0"/>
    <x v="0"/>
    <x v="3"/>
    <x v="3"/>
    <x v="5"/>
    <x v="2"/>
  </r>
  <r>
    <s v="TX500883"/>
    <x v="16"/>
    <x v="8"/>
    <n v="74"/>
    <n v="592"/>
    <x v="36"/>
    <d v="2025-02-07T00:00:00"/>
    <x v="2"/>
    <x v="4"/>
    <x v="0"/>
    <x v="0"/>
    <x v="37"/>
    <x v="3"/>
    <x v="5"/>
    <x v="2"/>
  </r>
  <r>
    <s v="TX500884"/>
    <x v="6"/>
    <x v="25"/>
    <n v="55.5"/>
    <n v="1332"/>
    <x v="36"/>
    <d v="2025-02-09T00:00:00"/>
    <x v="1"/>
    <x v="3"/>
    <x v="0"/>
    <x v="0"/>
    <x v="49"/>
    <x v="2"/>
    <x v="5"/>
    <x v="1"/>
  </r>
  <r>
    <s v="TX500885"/>
    <x v="11"/>
    <x v="1"/>
    <n v="38.9"/>
    <n v="77.8"/>
    <x v="36"/>
    <d v="2025-02-08T00:00:00"/>
    <x v="2"/>
    <x v="1"/>
    <x v="2"/>
    <x v="0"/>
    <x v="25"/>
    <x v="1"/>
    <x v="5"/>
    <x v="2"/>
  </r>
  <r>
    <s v="TX500886"/>
    <x v="16"/>
    <x v="1"/>
    <n v="64.599999999999994"/>
    <n v="129.19999999999999"/>
    <x v="36"/>
    <d v="2025-02-13T00:00:00"/>
    <x v="1"/>
    <x v="2"/>
    <x v="1"/>
    <x v="0"/>
    <x v="25"/>
    <x v="6"/>
    <x v="5"/>
    <x v="1"/>
  </r>
  <r>
    <s v="TX500887"/>
    <x v="2"/>
    <x v="2"/>
    <n v="95.3"/>
    <n v="285.89999999999998"/>
    <x v="36"/>
    <d v="2025-02-07T00:00:00"/>
    <x v="1"/>
    <x v="0"/>
    <x v="0"/>
    <x v="0"/>
    <x v="5"/>
    <x v="3"/>
    <x v="5"/>
    <x v="1"/>
  </r>
  <r>
    <s v="TX500888"/>
    <x v="13"/>
    <x v="2"/>
    <n v="25.8"/>
    <n v="77.400000000000006"/>
    <x v="36"/>
    <d v="2025-02-07T00:00:00"/>
    <x v="2"/>
    <x v="1"/>
    <x v="1"/>
    <x v="0"/>
    <x v="6"/>
    <x v="3"/>
    <x v="5"/>
    <x v="2"/>
  </r>
  <r>
    <s v="TX500889"/>
    <x v="0"/>
    <x v="1"/>
    <n v="11.6"/>
    <n v="23.2"/>
    <x v="36"/>
    <d v="2025-02-10T00:00:00"/>
    <x v="2"/>
    <x v="1"/>
    <x v="1"/>
    <x v="0"/>
    <x v="6"/>
    <x v="5"/>
    <x v="5"/>
    <x v="2"/>
  </r>
  <r>
    <s v="TX500890"/>
    <x v="7"/>
    <x v="0"/>
    <n v="52.3"/>
    <n v="52.3"/>
    <x v="36"/>
    <d v="2025-02-07T00:00:00"/>
    <x v="2"/>
    <x v="1"/>
    <x v="0"/>
    <x v="0"/>
    <x v="8"/>
    <x v="3"/>
    <x v="5"/>
    <x v="2"/>
  </r>
  <r>
    <s v="TX500891"/>
    <x v="2"/>
    <x v="7"/>
    <n v="112.2"/>
    <n v="1122"/>
    <x v="36"/>
    <d v="2025-02-07T00:00:00"/>
    <x v="2"/>
    <x v="1"/>
    <x v="1"/>
    <x v="0"/>
    <x v="8"/>
    <x v="3"/>
    <x v="5"/>
    <x v="2"/>
  </r>
  <r>
    <s v="TX500892"/>
    <x v="4"/>
    <x v="9"/>
    <n v="34.6"/>
    <n v="173"/>
    <x v="36"/>
    <d v="2025-02-08T00:00:00"/>
    <x v="1"/>
    <x v="2"/>
    <x v="0"/>
    <x v="0"/>
    <x v="8"/>
    <x v="1"/>
    <x v="5"/>
    <x v="1"/>
  </r>
  <r>
    <s v="TX500893"/>
    <x v="14"/>
    <x v="12"/>
    <n v="20.100000000000001"/>
    <n v="80.400000000000006"/>
    <x v="36"/>
    <d v="2025-02-12T00:00:00"/>
    <x v="1"/>
    <x v="1"/>
    <x v="2"/>
    <x v="0"/>
    <x v="8"/>
    <x v="4"/>
    <x v="5"/>
    <x v="1"/>
  </r>
  <r>
    <s v="TX500894"/>
    <x v="2"/>
    <x v="12"/>
    <n v="56.4"/>
    <n v="225.6"/>
    <x v="36"/>
    <d v="2025-02-08T00:00:00"/>
    <x v="2"/>
    <x v="2"/>
    <x v="0"/>
    <x v="0"/>
    <x v="10"/>
    <x v="1"/>
    <x v="5"/>
    <x v="2"/>
  </r>
  <r>
    <s v="TX500895"/>
    <x v="13"/>
    <x v="11"/>
    <n v="55.3"/>
    <n v="497.7"/>
    <x v="36"/>
    <d v="2025-02-08T00:00:00"/>
    <x v="2"/>
    <x v="1"/>
    <x v="4"/>
    <x v="0"/>
    <x v="11"/>
    <x v="1"/>
    <x v="5"/>
    <x v="2"/>
  </r>
  <r>
    <s v="TX500896"/>
    <x v="2"/>
    <x v="31"/>
    <n v="75.5"/>
    <n v="2114"/>
    <x v="36"/>
    <d v="2025-02-07T00:00:00"/>
    <x v="2"/>
    <x v="0"/>
    <x v="0"/>
    <x v="0"/>
    <x v="11"/>
    <x v="3"/>
    <x v="5"/>
    <x v="2"/>
  </r>
  <r>
    <s v="TX500897"/>
    <x v="8"/>
    <x v="0"/>
    <n v="23.6"/>
    <n v="23.6"/>
    <x v="36"/>
    <d v="2025-02-11T00:00:00"/>
    <x v="2"/>
    <x v="0"/>
    <x v="0"/>
    <x v="0"/>
    <x v="19"/>
    <x v="0"/>
    <x v="5"/>
    <x v="2"/>
  </r>
  <r>
    <s v="TX500898"/>
    <x v="9"/>
    <x v="1"/>
    <n v="70.7"/>
    <n v="141.4"/>
    <x v="36"/>
    <d v="2025-02-08T00:00:00"/>
    <x v="2"/>
    <x v="2"/>
    <x v="0"/>
    <x v="0"/>
    <x v="19"/>
    <x v="1"/>
    <x v="5"/>
    <x v="2"/>
  </r>
  <r>
    <s v="TX500899"/>
    <x v="12"/>
    <x v="1"/>
    <n v="43.2"/>
    <n v="86.4"/>
    <x v="36"/>
    <d v="2025-02-07T00:00:00"/>
    <x v="2"/>
    <x v="2"/>
    <x v="0"/>
    <x v="0"/>
    <x v="31"/>
    <x v="3"/>
    <x v="5"/>
    <x v="2"/>
  </r>
  <r>
    <s v="TX500900"/>
    <x v="9"/>
    <x v="11"/>
    <n v="70"/>
    <n v="630"/>
    <x v="36"/>
    <d v="2025-02-07T00:00:00"/>
    <x v="0"/>
    <x v="1"/>
    <x v="0"/>
    <x v="0"/>
    <x v="52"/>
    <x v="3"/>
    <x v="5"/>
    <x v="0"/>
  </r>
  <r>
    <s v="TX500901"/>
    <x v="0"/>
    <x v="1"/>
    <n v="20.5"/>
    <n v="41"/>
    <x v="36"/>
    <d v="2025-02-08T00:00:00"/>
    <x v="2"/>
    <x v="2"/>
    <x v="4"/>
    <x v="0"/>
    <x v="13"/>
    <x v="1"/>
    <x v="5"/>
    <x v="2"/>
  </r>
  <r>
    <s v="TX500902"/>
    <x v="0"/>
    <x v="12"/>
    <n v="29.1"/>
    <n v="116.4"/>
    <x v="36"/>
    <d v="2025-02-07T00:00:00"/>
    <x v="2"/>
    <x v="3"/>
    <x v="0"/>
    <x v="0"/>
    <x v="28"/>
    <x v="3"/>
    <x v="5"/>
    <x v="2"/>
  </r>
  <r>
    <s v="TX500903"/>
    <x v="6"/>
    <x v="11"/>
    <n v="53.6"/>
    <n v="482.40000000000003"/>
    <x v="36"/>
    <d v="2025-02-07T00:00:00"/>
    <x v="1"/>
    <x v="2"/>
    <x v="1"/>
    <x v="0"/>
    <x v="3"/>
    <x v="3"/>
    <x v="5"/>
    <x v="1"/>
  </r>
  <r>
    <s v="TX500904"/>
    <x v="6"/>
    <x v="9"/>
    <n v="72.3"/>
    <n v="361.5"/>
    <x v="36"/>
    <d v="2025-02-08T00:00:00"/>
    <x v="2"/>
    <x v="1"/>
    <x v="0"/>
    <x v="0"/>
    <x v="3"/>
    <x v="1"/>
    <x v="5"/>
    <x v="2"/>
  </r>
  <r>
    <s v="TX500905"/>
    <x v="13"/>
    <x v="12"/>
    <n v="22.6"/>
    <n v="90.4"/>
    <x v="36"/>
    <d v="2025-02-09T00:00:00"/>
    <x v="3"/>
    <x v="0"/>
    <x v="1"/>
    <x v="0"/>
    <x v="3"/>
    <x v="2"/>
    <x v="5"/>
    <x v="3"/>
  </r>
  <r>
    <s v="TX500906"/>
    <x v="9"/>
    <x v="1"/>
    <n v="44.2"/>
    <n v="88.4"/>
    <x v="36"/>
    <d v="2025-02-10T00:00:00"/>
    <x v="0"/>
    <x v="2"/>
    <x v="4"/>
    <x v="0"/>
    <x v="3"/>
    <x v="5"/>
    <x v="5"/>
    <x v="0"/>
  </r>
  <r>
    <s v="TX500907"/>
    <x v="9"/>
    <x v="2"/>
    <n v="94.1"/>
    <n v="282.29999999999995"/>
    <x v="36"/>
    <d v="2025-02-19T00:00:00"/>
    <x v="2"/>
    <x v="2"/>
    <x v="2"/>
    <x v="0"/>
    <x v="3"/>
    <x v="10"/>
    <x v="5"/>
    <x v="2"/>
  </r>
  <r>
    <s v="TX500908"/>
    <x v="8"/>
    <x v="2"/>
    <n v="17.899999999999999"/>
    <n v="53.699999999999996"/>
    <x v="36"/>
    <d v="2025-02-08T00:00:00"/>
    <x v="1"/>
    <x v="1"/>
    <x v="1"/>
    <x v="0"/>
    <x v="3"/>
    <x v="1"/>
    <x v="5"/>
    <x v="1"/>
  </r>
  <r>
    <s v="TX500909"/>
    <x v="12"/>
    <x v="3"/>
    <n v="52.7"/>
    <n v="368.90000000000003"/>
    <x v="36"/>
    <d v="2025-02-07T00:00:00"/>
    <x v="1"/>
    <x v="1"/>
    <x v="1"/>
    <x v="0"/>
    <x v="3"/>
    <x v="3"/>
    <x v="5"/>
    <x v="1"/>
  </r>
  <r>
    <s v="TX500910"/>
    <x v="8"/>
    <x v="0"/>
    <n v="36.799999999999997"/>
    <n v="36.799999999999997"/>
    <x v="36"/>
    <d v="2025-02-06T00:00:00"/>
    <x v="0"/>
    <x v="0"/>
    <x v="2"/>
    <x v="0"/>
    <x v="3"/>
    <x v="7"/>
    <x v="5"/>
    <x v="0"/>
  </r>
  <r>
    <s v="TX500911"/>
    <x v="4"/>
    <x v="0"/>
    <n v="52.5"/>
    <n v="52.5"/>
    <x v="36"/>
    <d v="2025-02-07T00:00:00"/>
    <x v="1"/>
    <x v="0"/>
    <x v="1"/>
    <x v="0"/>
    <x v="6"/>
    <x v="3"/>
    <x v="5"/>
    <x v="1"/>
  </r>
  <r>
    <s v="TX500912"/>
    <x v="2"/>
    <x v="1"/>
    <n v="133.80000000000001"/>
    <n v="267.60000000000002"/>
    <x v="36"/>
    <d v="2025-02-08T00:00:00"/>
    <x v="1"/>
    <x v="0"/>
    <x v="1"/>
    <x v="0"/>
    <x v="7"/>
    <x v="1"/>
    <x v="5"/>
    <x v="1"/>
  </r>
  <r>
    <s v="TX500913"/>
    <x v="6"/>
    <x v="1"/>
    <n v="53.2"/>
    <n v="106.4"/>
    <x v="36"/>
    <d v="2025-02-08T00:00:00"/>
    <x v="1"/>
    <x v="0"/>
    <x v="0"/>
    <x v="0"/>
    <x v="17"/>
    <x v="1"/>
    <x v="5"/>
    <x v="1"/>
  </r>
  <r>
    <s v="TX500914"/>
    <x v="14"/>
    <x v="13"/>
    <n v="18.7"/>
    <n v="112.19999999999999"/>
    <x v="36"/>
    <d v="2025-02-08T00:00:00"/>
    <x v="0"/>
    <x v="0"/>
    <x v="1"/>
    <x v="0"/>
    <x v="10"/>
    <x v="1"/>
    <x v="5"/>
    <x v="0"/>
  </r>
  <r>
    <s v="TX500915"/>
    <x v="6"/>
    <x v="12"/>
    <n v="108.8"/>
    <n v="435.2"/>
    <x v="36"/>
    <d v="2025-02-07T00:00:00"/>
    <x v="2"/>
    <x v="3"/>
    <x v="2"/>
    <x v="0"/>
    <x v="11"/>
    <x v="3"/>
    <x v="5"/>
    <x v="2"/>
  </r>
  <r>
    <s v="TX500916"/>
    <x v="15"/>
    <x v="9"/>
    <n v="38.5"/>
    <n v="192.5"/>
    <x v="36"/>
    <d v="2025-02-10T00:00:00"/>
    <x v="2"/>
    <x v="0"/>
    <x v="1"/>
    <x v="0"/>
    <x v="14"/>
    <x v="5"/>
    <x v="5"/>
    <x v="2"/>
  </r>
  <r>
    <s v="TX500917"/>
    <x v="10"/>
    <x v="7"/>
    <n v="46.5"/>
    <n v="465"/>
    <x v="36"/>
    <d v="2025-02-08T00:00:00"/>
    <x v="1"/>
    <x v="2"/>
    <x v="1"/>
    <x v="0"/>
    <x v="2"/>
    <x v="1"/>
    <x v="5"/>
    <x v="1"/>
  </r>
  <r>
    <s v="TX500918"/>
    <x v="2"/>
    <x v="2"/>
    <n v="75.8"/>
    <n v="227.39999999999998"/>
    <x v="36"/>
    <d v="2025-02-10T00:00:00"/>
    <x v="2"/>
    <x v="1"/>
    <x v="4"/>
    <x v="0"/>
    <x v="44"/>
    <x v="5"/>
    <x v="5"/>
    <x v="2"/>
  </r>
  <r>
    <s v="TX500919"/>
    <x v="8"/>
    <x v="0"/>
    <n v="20.9"/>
    <n v="20.9"/>
    <x v="36"/>
    <d v="2025-02-10T00:00:00"/>
    <x v="1"/>
    <x v="0"/>
    <x v="0"/>
    <x v="0"/>
    <x v="22"/>
    <x v="5"/>
    <x v="5"/>
    <x v="1"/>
  </r>
  <r>
    <s v="TX500920"/>
    <x v="18"/>
    <x v="2"/>
    <n v="47.4"/>
    <n v="142.19999999999999"/>
    <x v="36"/>
    <d v="2025-02-09T00:00:00"/>
    <x v="2"/>
    <x v="0"/>
    <x v="0"/>
    <x v="0"/>
    <x v="3"/>
    <x v="2"/>
    <x v="5"/>
    <x v="2"/>
  </r>
  <r>
    <s v="TX500921"/>
    <x v="9"/>
    <x v="1"/>
    <n v="53.8"/>
    <n v="107.6"/>
    <x v="36"/>
    <d v="2025-02-07T00:00:00"/>
    <x v="0"/>
    <x v="0"/>
    <x v="1"/>
    <x v="0"/>
    <x v="3"/>
    <x v="3"/>
    <x v="5"/>
    <x v="0"/>
  </r>
  <r>
    <s v="TX500922"/>
    <x v="8"/>
    <x v="2"/>
    <n v="24.6"/>
    <n v="73.800000000000011"/>
    <x v="36"/>
    <d v="2025-02-08T00:00:00"/>
    <x v="3"/>
    <x v="1"/>
    <x v="2"/>
    <x v="0"/>
    <x v="3"/>
    <x v="1"/>
    <x v="5"/>
    <x v="3"/>
  </r>
  <r>
    <s v="TX500923"/>
    <x v="9"/>
    <x v="2"/>
    <n v="70.900000000000006"/>
    <n v="212.70000000000002"/>
    <x v="36"/>
    <d v="2025-02-11T00:00:00"/>
    <x v="2"/>
    <x v="2"/>
    <x v="2"/>
    <x v="0"/>
    <x v="3"/>
    <x v="0"/>
    <x v="5"/>
    <x v="2"/>
  </r>
  <r>
    <s v="TX500924"/>
    <x v="17"/>
    <x v="2"/>
    <n v="31.9"/>
    <n v="95.699999999999989"/>
    <x v="36"/>
    <d v="2025-02-08T00:00:00"/>
    <x v="2"/>
    <x v="2"/>
    <x v="2"/>
    <x v="0"/>
    <x v="3"/>
    <x v="1"/>
    <x v="5"/>
    <x v="2"/>
  </r>
  <r>
    <s v="TX500925"/>
    <x v="0"/>
    <x v="1"/>
    <n v="20.399999999999999"/>
    <n v="40.799999999999997"/>
    <x v="36"/>
    <d v="2025-02-10T00:00:00"/>
    <x v="1"/>
    <x v="3"/>
    <x v="2"/>
    <x v="0"/>
    <x v="3"/>
    <x v="5"/>
    <x v="5"/>
    <x v="1"/>
  </r>
  <r>
    <s v="TX500926"/>
    <x v="8"/>
    <x v="1"/>
    <n v="18.600000000000001"/>
    <n v="37.200000000000003"/>
    <x v="36"/>
    <d v="2025-02-08T00:00:00"/>
    <x v="0"/>
    <x v="0"/>
    <x v="1"/>
    <x v="0"/>
    <x v="3"/>
    <x v="1"/>
    <x v="5"/>
    <x v="0"/>
  </r>
  <r>
    <s v="TX500927"/>
    <x v="4"/>
    <x v="9"/>
    <n v="48.3"/>
    <n v="241.5"/>
    <x v="36"/>
    <d v="2025-02-08T00:00:00"/>
    <x v="2"/>
    <x v="1"/>
    <x v="0"/>
    <x v="0"/>
    <x v="3"/>
    <x v="1"/>
    <x v="5"/>
    <x v="2"/>
  </r>
  <r>
    <s v="TX500928"/>
    <x v="0"/>
    <x v="12"/>
    <n v="27.7"/>
    <n v="110.8"/>
    <x v="36"/>
    <d v="2025-02-08T00:00:00"/>
    <x v="2"/>
    <x v="0"/>
    <x v="0"/>
    <x v="0"/>
    <x v="3"/>
    <x v="1"/>
    <x v="5"/>
    <x v="2"/>
  </r>
  <r>
    <s v="TX500929"/>
    <x v="4"/>
    <x v="9"/>
    <n v="22.5"/>
    <n v="112.5"/>
    <x v="36"/>
    <d v="2025-02-08T00:00:00"/>
    <x v="2"/>
    <x v="4"/>
    <x v="2"/>
    <x v="0"/>
    <x v="3"/>
    <x v="1"/>
    <x v="5"/>
    <x v="2"/>
  </r>
  <r>
    <s v="TX500930"/>
    <x v="17"/>
    <x v="9"/>
    <n v="21.6"/>
    <n v="108"/>
    <x v="36"/>
    <d v="2025-02-14T00:00:00"/>
    <x v="2"/>
    <x v="0"/>
    <x v="1"/>
    <x v="0"/>
    <x v="3"/>
    <x v="9"/>
    <x v="5"/>
    <x v="2"/>
  </r>
  <r>
    <s v="TX500931"/>
    <x v="10"/>
    <x v="3"/>
    <n v="26.3"/>
    <n v="184.1"/>
    <x v="36"/>
    <d v="2025-02-06T00:00:00"/>
    <x v="2"/>
    <x v="2"/>
    <x v="1"/>
    <x v="0"/>
    <x v="3"/>
    <x v="7"/>
    <x v="5"/>
    <x v="2"/>
  </r>
  <r>
    <s v="TX500932"/>
    <x v="6"/>
    <x v="3"/>
    <n v="103"/>
    <n v="721"/>
    <x v="37"/>
    <d v="2025-02-08T00:00:00"/>
    <x v="1"/>
    <x v="0"/>
    <x v="2"/>
    <x v="0"/>
    <x v="6"/>
    <x v="3"/>
    <x v="5"/>
    <x v="1"/>
  </r>
  <r>
    <s v="TX500933"/>
    <x v="5"/>
    <x v="20"/>
    <n v="46.6"/>
    <n v="699"/>
    <x v="37"/>
    <d v="2025-02-08T00:00:00"/>
    <x v="2"/>
    <x v="0"/>
    <x v="1"/>
    <x v="0"/>
    <x v="6"/>
    <x v="3"/>
    <x v="5"/>
    <x v="2"/>
  </r>
  <r>
    <s v="TX500934"/>
    <x v="0"/>
    <x v="9"/>
    <n v="32.200000000000003"/>
    <n v="161"/>
    <x v="37"/>
    <d v="2025-02-10T00:00:00"/>
    <x v="2"/>
    <x v="0"/>
    <x v="2"/>
    <x v="0"/>
    <x v="36"/>
    <x v="2"/>
    <x v="5"/>
    <x v="2"/>
  </r>
  <r>
    <s v="TX500935"/>
    <x v="8"/>
    <x v="2"/>
    <n v="22"/>
    <n v="66"/>
    <x v="37"/>
    <d v="2025-02-14T00:00:00"/>
    <x v="1"/>
    <x v="1"/>
    <x v="0"/>
    <x v="0"/>
    <x v="7"/>
    <x v="6"/>
    <x v="5"/>
    <x v="1"/>
  </r>
  <r>
    <s v="TX500936"/>
    <x v="0"/>
    <x v="1"/>
    <n v="25.2"/>
    <n v="50.4"/>
    <x v="37"/>
    <d v="2025-02-11T00:00:00"/>
    <x v="2"/>
    <x v="0"/>
    <x v="0"/>
    <x v="0"/>
    <x v="7"/>
    <x v="5"/>
    <x v="5"/>
    <x v="2"/>
  </r>
  <r>
    <s v="TX500937"/>
    <x v="1"/>
    <x v="13"/>
    <n v="68.7"/>
    <n v="412.20000000000005"/>
    <x v="37"/>
    <d v="2025-02-09T00:00:00"/>
    <x v="1"/>
    <x v="4"/>
    <x v="0"/>
    <x v="0"/>
    <x v="8"/>
    <x v="1"/>
    <x v="5"/>
    <x v="1"/>
  </r>
  <r>
    <s v="TX500938"/>
    <x v="0"/>
    <x v="2"/>
    <n v="22.2"/>
    <n v="66.599999999999994"/>
    <x v="37"/>
    <d v="2025-02-10T00:00:00"/>
    <x v="1"/>
    <x v="2"/>
    <x v="2"/>
    <x v="0"/>
    <x v="8"/>
    <x v="2"/>
    <x v="5"/>
    <x v="1"/>
  </r>
  <r>
    <s v="TX500939"/>
    <x v="1"/>
    <x v="3"/>
    <n v="36"/>
    <n v="252"/>
    <x v="37"/>
    <d v="2025-02-08T00:00:00"/>
    <x v="2"/>
    <x v="1"/>
    <x v="0"/>
    <x v="0"/>
    <x v="8"/>
    <x v="3"/>
    <x v="5"/>
    <x v="2"/>
  </r>
  <r>
    <s v="TX500940"/>
    <x v="18"/>
    <x v="0"/>
    <n v="50.6"/>
    <n v="50.6"/>
    <x v="37"/>
    <d v="2025-02-09T00:00:00"/>
    <x v="2"/>
    <x v="0"/>
    <x v="1"/>
    <x v="0"/>
    <x v="8"/>
    <x v="1"/>
    <x v="5"/>
    <x v="2"/>
  </r>
  <r>
    <s v="TX500941"/>
    <x v="15"/>
    <x v="1"/>
    <n v="44.9"/>
    <n v="89.8"/>
    <x v="37"/>
    <d v="2025-02-09T00:00:00"/>
    <x v="1"/>
    <x v="0"/>
    <x v="1"/>
    <x v="0"/>
    <x v="8"/>
    <x v="1"/>
    <x v="5"/>
    <x v="1"/>
  </r>
  <r>
    <s v="TX500942"/>
    <x v="6"/>
    <x v="2"/>
    <n v="71.599999999999994"/>
    <n v="214.79999999999998"/>
    <x v="37"/>
    <d v="2025-02-11T00:00:00"/>
    <x v="1"/>
    <x v="1"/>
    <x v="2"/>
    <x v="0"/>
    <x v="10"/>
    <x v="5"/>
    <x v="5"/>
    <x v="1"/>
  </r>
  <r>
    <s v="TX500943"/>
    <x v="6"/>
    <x v="13"/>
    <n v="51.5"/>
    <n v="309"/>
    <x v="37"/>
    <d v="2025-02-09T00:00:00"/>
    <x v="0"/>
    <x v="4"/>
    <x v="0"/>
    <x v="0"/>
    <x v="11"/>
    <x v="1"/>
    <x v="5"/>
    <x v="0"/>
  </r>
  <r>
    <s v="TX500944"/>
    <x v="7"/>
    <x v="9"/>
    <n v="55.5"/>
    <n v="277.5"/>
    <x v="37"/>
    <d v="2025-02-08T00:00:00"/>
    <x v="1"/>
    <x v="1"/>
    <x v="1"/>
    <x v="0"/>
    <x v="11"/>
    <x v="3"/>
    <x v="5"/>
    <x v="1"/>
  </r>
  <r>
    <s v="TX500945"/>
    <x v="6"/>
    <x v="0"/>
    <n v="51.7"/>
    <n v="51.7"/>
    <x v="37"/>
    <d v="2025-02-21T00:00:00"/>
    <x v="1"/>
    <x v="2"/>
    <x v="0"/>
    <x v="0"/>
    <x v="19"/>
    <x v="12"/>
    <x v="5"/>
    <x v="1"/>
  </r>
  <r>
    <s v="TX500946"/>
    <x v="8"/>
    <x v="38"/>
    <n v="45.5"/>
    <n v="955.5"/>
    <x v="37"/>
    <d v="2025-02-08T00:00:00"/>
    <x v="2"/>
    <x v="3"/>
    <x v="2"/>
    <x v="0"/>
    <x v="19"/>
    <x v="3"/>
    <x v="5"/>
    <x v="2"/>
  </r>
  <r>
    <s v="TX500947"/>
    <x v="8"/>
    <x v="1"/>
    <n v="33.799999999999997"/>
    <n v="67.599999999999994"/>
    <x v="37"/>
    <d v="2025-02-13T00:00:00"/>
    <x v="2"/>
    <x v="3"/>
    <x v="0"/>
    <x v="0"/>
    <x v="20"/>
    <x v="4"/>
    <x v="5"/>
    <x v="2"/>
  </r>
  <r>
    <s v="TX500948"/>
    <x v="3"/>
    <x v="2"/>
    <n v="76.5"/>
    <n v="229.5"/>
    <x v="37"/>
    <d v="2025-02-08T00:00:00"/>
    <x v="2"/>
    <x v="0"/>
    <x v="1"/>
    <x v="0"/>
    <x v="21"/>
    <x v="3"/>
    <x v="5"/>
    <x v="2"/>
  </r>
  <r>
    <s v="TX500949"/>
    <x v="9"/>
    <x v="2"/>
    <n v="42.6"/>
    <n v="127.80000000000001"/>
    <x v="37"/>
    <d v="2025-02-13T00:00:00"/>
    <x v="2"/>
    <x v="2"/>
    <x v="2"/>
    <x v="0"/>
    <x v="2"/>
    <x v="4"/>
    <x v="5"/>
    <x v="2"/>
  </r>
  <r>
    <s v="TX500950"/>
    <x v="6"/>
    <x v="2"/>
    <n v="44.1"/>
    <n v="132.30000000000001"/>
    <x v="37"/>
    <d v="2025-02-09T00:00:00"/>
    <x v="2"/>
    <x v="1"/>
    <x v="1"/>
    <x v="0"/>
    <x v="22"/>
    <x v="1"/>
    <x v="5"/>
    <x v="2"/>
  </r>
  <r>
    <s v="TX500951"/>
    <x v="8"/>
    <x v="1"/>
    <n v="40.9"/>
    <n v="81.8"/>
    <x v="37"/>
    <d v="2025-02-11T00:00:00"/>
    <x v="1"/>
    <x v="0"/>
    <x v="0"/>
    <x v="0"/>
    <x v="3"/>
    <x v="5"/>
    <x v="5"/>
    <x v="1"/>
  </r>
  <r>
    <s v="TX500952"/>
    <x v="9"/>
    <x v="2"/>
    <n v="49.1"/>
    <n v="147.30000000000001"/>
    <x v="37"/>
    <d v="2025-02-11T00:00:00"/>
    <x v="2"/>
    <x v="3"/>
    <x v="1"/>
    <x v="0"/>
    <x v="3"/>
    <x v="5"/>
    <x v="5"/>
    <x v="2"/>
  </r>
  <r>
    <s v="TX500953"/>
    <x v="18"/>
    <x v="0"/>
    <n v="85.3"/>
    <n v="85.3"/>
    <x v="37"/>
    <d v="2025-02-11T00:00:00"/>
    <x v="1"/>
    <x v="1"/>
    <x v="1"/>
    <x v="0"/>
    <x v="3"/>
    <x v="5"/>
    <x v="5"/>
    <x v="1"/>
  </r>
  <r>
    <s v="TX500954"/>
    <x v="6"/>
    <x v="12"/>
    <n v="43.1"/>
    <n v="172.4"/>
    <x v="38"/>
    <d v="2025-02-11T00:00:00"/>
    <x v="1"/>
    <x v="0"/>
    <x v="0"/>
    <x v="0"/>
    <x v="3"/>
    <x v="2"/>
    <x v="5"/>
    <x v="1"/>
  </r>
  <r>
    <s v="TX500955"/>
    <x v="4"/>
    <x v="12"/>
    <n v="46.2"/>
    <n v="184.8"/>
    <x v="38"/>
    <d v="2025-02-09T00:00:00"/>
    <x v="1"/>
    <x v="2"/>
    <x v="0"/>
    <x v="0"/>
    <x v="3"/>
    <x v="3"/>
    <x v="5"/>
    <x v="1"/>
  </r>
  <r>
    <s v="TX500956"/>
    <x v="1"/>
    <x v="0"/>
    <n v="74.400000000000006"/>
    <n v="74.400000000000006"/>
    <x v="38"/>
    <d v="2025-02-10T00:00:00"/>
    <x v="1"/>
    <x v="4"/>
    <x v="2"/>
    <x v="0"/>
    <x v="3"/>
    <x v="1"/>
    <x v="5"/>
    <x v="1"/>
  </r>
  <r>
    <s v="TX500957"/>
    <x v="17"/>
    <x v="1"/>
    <n v="51.2"/>
    <n v="102.4"/>
    <x v="38"/>
    <d v="2025-02-09T00:00:00"/>
    <x v="1"/>
    <x v="1"/>
    <x v="0"/>
    <x v="0"/>
    <x v="3"/>
    <x v="3"/>
    <x v="5"/>
    <x v="1"/>
  </r>
  <r>
    <s v="TX500958"/>
    <x v="14"/>
    <x v="12"/>
    <n v="11.8"/>
    <n v="47.2"/>
    <x v="38"/>
    <d v="2025-02-08T00:00:00"/>
    <x v="1"/>
    <x v="2"/>
    <x v="0"/>
    <x v="0"/>
    <x v="3"/>
    <x v="7"/>
    <x v="5"/>
    <x v="1"/>
  </r>
  <r>
    <s v="TX500959"/>
    <x v="10"/>
    <x v="6"/>
    <n v="40.799999999999997"/>
    <n v="1101.5999999999999"/>
    <x v="38"/>
    <d v="2025-02-09T00:00:00"/>
    <x v="2"/>
    <x v="3"/>
    <x v="2"/>
    <x v="0"/>
    <x v="3"/>
    <x v="3"/>
    <x v="5"/>
    <x v="2"/>
  </r>
  <r>
    <s v="TX500960"/>
    <x v="8"/>
    <x v="0"/>
    <n v="24.7"/>
    <n v="24.7"/>
    <x v="38"/>
    <d v="2025-02-10T00:00:00"/>
    <x v="2"/>
    <x v="2"/>
    <x v="1"/>
    <x v="0"/>
    <x v="3"/>
    <x v="1"/>
    <x v="5"/>
    <x v="2"/>
  </r>
  <r>
    <s v="TX500961"/>
    <x v="8"/>
    <x v="3"/>
    <n v="22.1"/>
    <n v="154.70000000000002"/>
    <x v="38"/>
    <d v="2025-02-08T00:00:00"/>
    <x v="2"/>
    <x v="2"/>
    <x v="4"/>
    <x v="0"/>
    <x v="3"/>
    <x v="7"/>
    <x v="5"/>
    <x v="2"/>
  </r>
  <r>
    <s v="TX500962"/>
    <x v="8"/>
    <x v="0"/>
    <n v="18.100000000000001"/>
    <n v="18.100000000000001"/>
    <x v="38"/>
    <d v="2025-02-12T00:00:00"/>
    <x v="1"/>
    <x v="3"/>
    <x v="2"/>
    <x v="0"/>
    <x v="3"/>
    <x v="5"/>
    <x v="5"/>
    <x v="1"/>
  </r>
  <r>
    <s v="TX500963"/>
    <x v="17"/>
    <x v="1"/>
    <n v="58.8"/>
    <n v="117.6"/>
    <x v="38"/>
    <d v="2025-02-11T00:00:00"/>
    <x v="2"/>
    <x v="0"/>
    <x v="0"/>
    <x v="0"/>
    <x v="25"/>
    <x v="2"/>
    <x v="5"/>
    <x v="2"/>
  </r>
  <r>
    <s v="TX500964"/>
    <x v="18"/>
    <x v="1"/>
    <n v="30.8"/>
    <n v="61.6"/>
    <x v="38"/>
    <d v="2025-02-09T00:00:00"/>
    <x v="2"/>
    <x v="0"/>
    <x v="0"/>
    <x v="0"/>
    <x v="6"/>
    <x v="3"/>
    <x v="5"/>
    <x v="2"/>
  </r>
  <r>
    <s v="TX500965"/>
    <x v="0"/>
    <x v="1"/>
    <n v="12"/>
    <n v="24"/>
    <x v="38"/>
    <d v="2025-02-12T00:00:00"/>
    <x v="2"/>
    <x v="0"/>
    <x v="0"/>
    <x v="0"/>
    <x v="6"/>
    <x v="5"/>
    <x v="5"/>
    <x v="2"/>
  </r>
  <r>
    <s v="TX500966"/>
    <x v="0"/>
    <x v="12"/>
    <n v="13.6"/>
    <n v="54.4"/>
    <x v="38"/>
    <d v="2025-02-11T00:00:00"/>
    <x v="1"/>
    <x v="2"/>
    <x v="0"/>
    <x v="0"/>
    <x v="6"/>
    <x v="2"/>
    <x v="5"/>
    <x v="1"/>
  </r>
  <r>
    <s v="TX500967"/>
    <x v="0"/>
    <x v="0"/>
    <n v="17.899999999999999"/>
    <n v="17.899999999999999"/>
    <x v="38"/>
    <d v="2025-02-09T00:00:00"/>
    <x v="1"/>
    <x v="3"/>
    <x v="0"/>
    <x v="0"/>
    <x v="6"/>
    <x v="3"/>
    <x v="5"/>
    <x v="1"/>
  </r>
  <r>
    <s v="TX500968"/>
    <x v="9"/>
    <x v="1"/>
    <n v="38.6"/>
    <n v="77.2"/>
    <x v="38"/>
    <d v="2025-02-12T00:00:00"/>
    <x v="2"/>
    <x v="4"/>
    <x v="0"/>
    <x v="0"/>
    <x v="7"/>
    <x v="5"/>
    <x v="5"/>
    <x v="2"/>
  </r>
  <r>
    <s v="TX500969"/>
    <x v="5"/>
    <x v="9"/>
    <n v="32.700000000000003"/>
    <n v="163.5"/>
    <x v="38"/>
    <d v="2025-02-09T00:00:00"/>
    <x v="1"/>
    <x v="2"/>
    <x v="2"/>
    <x v="0"/>
    <x v="8"/>
    <x v="3"/>
    <x v="5"/>
    <x v="1"/>
  </r>
  <r>
    <s v="TX500970"/>
    <x v="3"/>
    <x v="1"/>
    <n v="111.4"/>
    <n v="222.8"/>
    <x v="38"/>
    <d v="2025-02-09T00:00:00"/>
    <x v="2"/>
    <x v="1"/>
    <x v="0"/>
    <x v="0"/>
    <x v="8"/>
    <x v="3"/>
    <x v="5"/>
    <x v="2"/>
  </r>
  <r>
    <s v="TX500971"/>
    <x v="2"/>
    <x v="13"/>
    <n v="80.3"/>
    <n v="481.79999999999995"/>
    <x v="38"/>
    <d v="2025-02-10T00:00:00"/>
    <x v="2"/>
    <x v="1"/>
    <x v="0"/>
    <x v="0"/>
    <x v="8"/>
    <x v="1"/>
    <x v="5"/>
    <x v="2"/>
  </r>
  <r>
    <s v="TX500972"/>
    <x v="6"/>
    <x v="1"/>
    <n v="58.9"/>
    <n v="117.8"/>
    <x v="38"/>
    <d v="2025-02-09T00:00:00"/>
    <x v="1"/>
    <x v="1"/>
    <x v="0"/>
    <x v="0"/>
    <x v="8"/>
    <x v="3"/>
    <x v="5"/>
    <x v="1"/>
  </r>
  <r>
    <s v="TX500973"/>
    <x v="6"/>
    <x v="2"/>
    <n v="51.9"/>
    <n v="155.69999999999999"/>
    <x v="38"/>
    <d v="2025-02-10T00:00:00"/>
    <x v="2"/>
    <x v="1"/>
    <x v="4"/>
    <x v="0"/>
    <x v="8"/>
    <x v="1"/>
    <x v="5"/>
    <x v="2"/>
  </r>
  <r>
    <s v="TX500974"/>
    <x v="2"/>
    <x v="2"/>
    <n v="50.3"/>
    <n v="150.89999999999998"/>
    <x v="38"/>
    <d v="2025-02-09T00:00:00"/>
    <x v="1"/>
    <x v="2"/>
    <x v="0"/>
    <x v="0"/>
    <x v="17"/>
    <x v="3"/>
    <x v="5"/>
    <x v="1"/>
  </r>
  <r>
    <s v="TX500975"/>
    <x v="11"/>
    <x v="13"/>
    <n v="45"/>
    <n v="270"/>
    <x v="38"/>
    <d v="2025-02-14T00:00:00"/>
    <x v="2"/>
    <x v="3"/>
    <x v="0"/>
    <x v="0"/>
    <x v="9"/>
    <x v="4"/>
    <x v="5"/>
    <x v="2"/>
  </r>
  <r>
    <s v="TX500976"/>
    <x v="10"/>
    <x v="13"/>
    <n v="44.7"/>
    <n v="268.20000000000005"/>
    <x v="38"/>
    <d v="2025-02-10T00:00:00"/>
    <x v="2"/>
    <x v="2"/>
    <x v="0"/>
    <x v="0"/>
    <x v="11"/>
    <x v="1"/>
    <x v="5"/>
    <x v="2"/>
  </r>
  <r>
    <s v="TX500977"/>
    <x v="18"/>
    <x v="20"/>
    <n v="33"/>
    <n v="495"/>
    <x v="38"/>
    <d v="2025-02-09T00:00:00"/>
    <x v="2"/>
    <x v="2"/>
    <x v="0"/>
    <x v="0"/>
    <x v="11"/>
    <x v="3"/>
    <x v="5"/>
    <x v="2"/>
  </r>
  <r>
    <s v="TX500978"/>
    <x v="1"/>
    <x v="9"/>
    <n v="44.9"/>
    <n v="224.5"/>
    <x v="38"/>
    <d v="2025-02-11T00:00:00"/>
    <x v="2"/>
    <x v="2"/>
    <x v="2"/>
    <x v="0"/>
    <x v="18"/>
    <x v="2"/>
    <x v="5"/>
    <x v="2"/>
  </r>
  <r>
    <s v="TX500979"/>
    <x v="10"/>
    <x v="1"/>
    <n v="34.6"/>
    <n v="69.2"/>
    <x v="38"/>
    <d v="2025-02-12T00:00:00"/>
    <x v="2"/>
    <x v="0"/>
    <x v="1"/>
    <x v="0"/>
    <x v="19"/>
    <x v="5"/>
    <x v="5"/>
    <x v="2"/>
  </r>
  <r>
    <s v="TX500980"/>
    <x v="7"/>
    <x v="3"/>
    <n v="47.1"/>
    <n v="329.7"/>
    <x v="38"/>
    <d v="2025-02-13T00:00:00"/>
    <x v="2"/>
    <x v="0"/>
    <x v="0"/>
    <x v="0"/>
    <x v="13"/>
    <x v="0"/>
    <x v="5"/>
    <x v="2"/>
  </r>
  <r>
    <s v="TX500981"/>
    <x v="4"/>
    <x v="9"/>
    <n v="26.1"/>
    <n v="130.5"/>
    <x v="38"/>
    <d v="2025-02-13T00:00:00"/>
    <x v="1"/>
    <x v="0"/>
    <x v="2"/>
    <x v="0"/>
    <x v="21"/>
    <x v="0"/>
    <x v="5"/>
    <x v="1"/>
  </r>
  <r>
    <s v="TX500982"/>
    <x v="12"/>
    <x v="9"/>
    <n v="66.8"/>
    <n v="334"/>
    <x v="38"/>
    <d v="2025-02-11T00:00:00"/>
    <x v="2"/>
    <x v="0"/>
    <x v="0"/>
    <x v="0"/>
    <x v="21"/>
    <x v="2"/>
    <x v="5"/>
    <x v="2"/>
  </r>
  <r>
    <s v="TX500983"/>
    <x v="2"/>
    <x v="1"/>
    <n v="167.9"/>
    <n v="335.8"/>
    <x v="38"/>
    <d v="2025-02-09T00:00:00"/>
    <x v="2"/>
    <x v="3"/>
    <x v="2"/>
    <x v="0"/>
    <x v="21"/>
    <x v="3"/>
    <x v="5"/>
    <x v="2"/>
  </r>
  <r>
    <s v="TX500984"/>
    <x v="10"/>
    <x v="11"/>
    <n v="34.6"/>
    <n v="311.40000000000003"/>
    <x v="38"/>
    <d v="2025-02-09T00:00:00"/>
    <x v="2"/>
    <x v="2"/>
    <x v="1"/>
    <x v="0"/>
    <x v="21"/>
    <x v="3"/>
    <x v="5"/>
    <x v="2"/>
  </r>
  <r>
    <s v="TX500985"/>
    <x v="8"/>
    <x v="2"/>
    <n v="35.1"/>
    <n v="105.30000000000001"/>
    <x v="39"/>
    <d v="2025-02-13T00:00:00"/>
    <x v="1"/>
    <x v="4"/>
    <x v="2"/>
    <x v="0"/>
    <x v="1"/>
    <x v="5"/>
    <x v="6"/>
    <x v="1"/>
  </r>
  <r>
    <s v="TX500986"/>
    <x v="6"/>
    <x v="12"/>
    <n v="104.5"/>
    <n v="418"/>
    <x v="39"/>
    <d v="2025-02-10T00:00:00"/>
    <x v="1"/>
    <x v="1"/>
    <x v="1"/>
    <x v="0"/>
    <x v="1"/>
    <x v="3"/>
    <x v="6"/>
    <x v="1"/>
  </r>
  <r>
    <s v="TX500987"/>
    <x v="8"/>
    <x v="0"/>
    <n v="37.9"/>
    <n v="37.9"/>
    <x v="39"/>
    <d v="2025-02-11T00:00:00"/>
    <x v="0"/>
    <x v="1"/>
    <x v="2"/>
    <x v="0"/>
    <x v="2"/>
    <x v="1"/>
    <x v="6"/>
    <x v="0"/>
  </r>
  <r>
    <s v="TX500988"/>
    <x v="4"/>
    <x v="2"/>
    <n v="25.5"/>
    <n v="76.5"/>
    <x v="39"/>
    <d v="2025-02-12T00:00:00"/>
    <x v="1"/>
    <x v="3"/>
    <x v="0"/>
    <x v="0"/>
    <x v="2"/>
    <x v="2"/>
    <x v="6"/>
    <x v="1"/>
  </r>
  <r>
    <s v="TX500989"/>
    <x v="0"/>
    <x v="2"/>
    <n v="32"/>
    <n v="96"/>
    <x v="39"/>
    <d v="2025-02-13T00:00:00"/>
    <x v="2"/>
    <x v="1"/>
    <x v="0"/>
    <x v="0"/>
    <x v="22"/>
    <x v="5"/>
    <x v="6"/>
    <x v="2"/>
  </r>
  <r>
    <s v="TX500990"/>
    <x v="1"/>
    <x v="0"/>
    <n v="47.1"/>
    <n v="47.1"/>
    <x v="39"/>
    <d v="2025-02-10T00:00:00"/>
    <x v="2"/>
    <x v="0"/>
    <x v="0"/>
    <x v="0"/>
    <x v="34"/>
    <x v="3"/>
    <x v="6"/>
    <x v="2"/>
  </r>
  <r>
    <s v="TX500991"/>
    <x v="6"/>
    <x v="1"/>
    <n v="50.6"/>
    <n v="101.2"/>
    <x v="39"/>
    <d v="2025-02-15T00:00:00"/>
    <x v="0"/>
    <x v="0"/>
    <x v="0"/>
    <x v="0"/>
    <x v="3"/>
    <x v="4"/>
    <x v="6"/>
    <x v="0"/>
  </r>
  <r>
    <s v="TX500992"/>
    <x v="6"/>
    <x v="9"/>
    <n v="81.7"/>
    <n v="408.5"/>
    <x v="39"/>
    <d v="2025-02-10T00:00:00"/>
    <x v="2"/>
    <x v="1"/>
    <x v="2"/>
    <x v="0"/>
    <x v="3"/>
    <x v="3"/>
    <x v="6"/>
    <x v="2"/>
  </r>
  <r>
    <s v="TX500993"/>
    <x v="5"/>
    <x v="1"/>
    <n v="50.7"/>
    <n v="101.4"/>
    <x v="39"/>
    <d v="2025-02-10T00:00:00"/>
    <x v="3"/>
    <x v="2"/>
    <x v="2"/>
    <x v="0"/>
    <x v="3"/>
    <x v="3"/>
    <x v="6"/>
    <x v="3"/>
  </r>
  <r>
    <s v="TX500994"/>
    <x v="2"/>
    <x v="10"/>
    <n v="67.3"/>
    <n v="1278.7"/>
    <x v="39"/>
    <d v="2025-02-13T00:00:00"/>
    <x v="2"/>
    <x v="2"/>
    <x v="0"/>
    <x v="0"/>
    <x v="3"/>
    <x v="5"/>
    <x v="6"/>
    <x v="2"/>
  </r>
  <r>
    <s v="TX500995"/>
    <x v="2"/>
    <x v="12"/>
    <n v="64.8"/>
    <n v="259.2"/>
    <x v="39"/>
    <d v="2025-02-12T00:00:00"/>
    <x v="2"/>
    <x v="3"/>
    <x v="0"/>
    <x v="0"/>
    <x v="3"/>
    <x v="2"/>
    <x v="6"/>
    <x v="2"/>
  </r>
  <r>
    <s v="TX500996"/>
    <x v="5"/>
    <x v="32"/>
    <n v="61.3"/>
    <n v="1348.6"/>
    <x v="39"/>
    <d v="2025-02-10T00:00:00"/>
    <x v="2"/>
    <x v="0"/>
    <x v="2"/>
    <x v="0"/>
    <x v="3"/>
    <x v="3"/>
    <x v="6"/>
    <x v="2"/>
  </r>
  <r>
    <s v="TX500997"/>
    <x v="14"/>
    <x v="0"/>
    <n v="32.9"/>
    <n v="32.9"/>
    <x v="39"/>
    <d v="2025-02-12T00:00:00"/>
    <x v="2"/>
    <x v="4"/>
    <x v="0"/>
    <x v="0"/>
    <x v="3"/>
    <x v="2"/>
    <x v="6"/>
    <x v="2"/>
  </r>
  <r>
    <s v="TX500998"/>
    <x v="6"/>
    <x v="1"/>
    <n v="100.8"/>
    <n v="201.6"/>
    <x v="39"/>
    <d v="2025-02-12T00:00:00"/>
    <x v="2"/>
    <x v="0"/>
    <x v="0"/>
    <x v="0"/>
    <x v="3"/>
    <x v="2"/>
    <x v="6"/>
    <x v="2"/>
  </r>
  <r>
    <s v="TX500999"/>
    <x v="8"/>
    <x v="12"/>
    <n v="25.1"/>
    <n v="100.4"/>
    <x v="39"/>
    <d v="2025-02-11T00:00:00"/>
    <x v="2"/>
    <x v="1"/>
    <x v="0"/>
    <x v="0"/>
    <x v="3"/>
    <x v="1"/>
    <x v="6"/>
    <x v="2"/>
  </r>
  <r>
    <s v="TX501000"/>
    <x v="17"/>
    <x v="0"/>
    <n v="48.5"/>
    <n v="48.5"/>
    <x v="39"/>
    <d v="2025-02-10T00:00:00"/>
    <x v="2"/>
    <x v="0"/>
    <x v="1"/>
    <x v="0"/>
    <x v="3"/>
    <x v="3"/>
    <x v="6"/>
    <x v="2"/>
  </r>
  <r>
    <s v="TX501001"/>
    <x v="7"/>
    <x v="1"/>
    <n v="33.6"/>
    <n v="67.2"/>
    <x v="39"/>
    <d v="2025-02-13T00:00:00"/>
    <x v="2"/>
    <x v="2"/>
    <x v="2"/>
    <x v="0"/>
    <x v="3"/>
    <x v="5"/>
    <x v="6"/>
    <x v="2"/>
  </r>
  <r>
    <s v="TX501002"/>
    <x v="8"/>
    <x v="0"/>
    <n v="39.299999999999997"/>
    <n v="39.299999999999997"/>
    <x v="39"/>
    <d v="2025-02-20T00:00:00"/>
    <x v="2"/>
    <x v="1"/>
    <x v="1"/>
    <x v="0"/>
    <x v="49"/>
    <x v="11"/>
    <x v="6"/>
    <x v="2"/>
  </r>
  <r>
    <s v="TX501003"/>
    <x v="4"/>
    <x v="7"/>
    <n v="48.8"/>
    <n v="488"/>
    <x v="39"/>
    <d v="2025-02-11T00:00:00"/>
    <x v="2"/>
    <x v="3"/>
    <x v="1"/>
    <x v="0"/>
    <x v="25"/>
    <x v="1"/>
    <x v="6"/>
    <x v="2"/>
  </r>
  <r>
    <s v="TX501004"/>
    <x v="6"/>
    <x v="8"/>
    <n v="72.8"/>
    <n v="582.4"/>
    <x v="39"/>
    <d v="2025-02-11T00:00:00"/>
    <x v="1"/>
    <x v="1"/>
    <x v="2"/>
    <x v="0"/>
    <x v="5"/>
    <x v="1"/>
    <x v="6"/>
    <x v="1"/>
  </r>
  <r>
    <s v="TX501005"/>
    <x v="10"/>
    <x v="8"/>
    <n v="46.2"/>
    <n v="369.6"/>
    <x v="39"/>
    <d v="2025-02-10T00:00:00"/>
    <x v="1"/>
    <x v="3"/>
    <x v="4"/>
    <x v="0"/>
    <x v="5"/>
    <x v="3"/>
    <x v="6"/>
    <x v="1"/>
  </r>
  <r>
    <s v="TX501006"/>
    <x v="4"/>
    <x v="1"/>
    <n v="20.7"/>
    <n v="41.4"/>
    <x v="39"/>
    <d v="2025-02-10T00:00:00"/>
    <x v="2"/>
    <x v="2"/>
    <x v="3"/>
    <x v="0"/>
    <x v="6"/>
    <x v="3"/>
    <x v="6"/>
    <x v="2"/>
  </r>
  <r>
    <s v="TX501007"/>
    <x v="0"/>
    <x v="0"/>
    <n v="35.700000000000003"/>
    <n v="35.700000000000003"/>
    <x v="39"/>
    <d v="2025-02-11T00:00:00"/>
    <x v="2"/>
    <x v="3"/>
    <x v="0"/>
    <x v="0"/>
    <x v="6"/>
    <x v="1"/>
    <x v="6"/>
    <x v="2"/>
  </r>
  <r>
    <s v="TX501008"/>
    <x v="2"/>
    <x v="27"/>
    <n v="166.2"/>
    <n v="2659.2"/>
    <x v="39"/>
    <d v="2025-02-11T00:00:00"/>
    <x v="0"/>
    <x v="2"/>
    <x v="0"/>
    <x v="0"/>
    <x v="7"/>
    <x v="1"/>
    <x v="6"/>
    <x v="0"/>
  </r>
  <r>
    <s v="TX501009"/>
    <x v="6"/>
    <x v="12"/>
    <n v="85.8"/>
    <n v="343.2"/>
    <x v="39"/>
    <d v="2025-02-10T00:00:00"/>
    <x v="2"/>
    <x v="1"/>
    <x v="1"/>
    <x v="0"/>
    <x v="7"/>
    <x v="3"/>
    <x v="6"/>
    <x v="2"/>
  </r>
  <r>
    <s v="TX501010"/>
    <x v="8"/>
    <x v="2"/>
    <n v="26"/>
    <n v="78"/>
    <x v="39"/>
    <d v="2025-02-11T00:00:00"/>
    <x v="3"/>
    <x v="1"/>
    <x v="0"/>
    <x v="0"/>
    <x v="7"/>
    <x v="1"/>
    <x v="6"/>
    <x v="3"/>
  </r>
  <r>
    <s v="TX501011"/>
    <x v="2"/>
    <x v="15"/>
    <n v="116.6"/>
    <n v="1515.8"/>
    <x v="39"/>
    <d v="2025-02-12T00:00:00"/>
    <x v="2"/>
    <x v="0"/>
    <x v="0"/>
    <x v="0"/>
    <x v="8"/>
    <x v="2"/>
    <x v="6"/>
    <x v="2"/>
  </r>
  <r>
    <s v="TX501012"/>
    <x v="9"/>
    <x v="3"/>
    <n v="53.9"/>
    <n v="377.3"/>
    <x v="39"/>
    <d v="2025-02-12T00:00:00"/>
    <x v="3"/>
    <x v="0"/>
    <x v="2"/>
    <x v="0"/>
    <x v="8"/>
    <x v="2"/>
    <x v="6"/>
    <x v="3"/>
  </r>
  <r>
    <s v="TX501013"/>
    <x v="12"/>
    <x v="9"/>
    <n v="72.3"/>
    <n v="361.5"/>
    <x v="39"/>
    <d v="2025-02-11T00:00:00"/>
    <x v="0"/>
    <x v="2"/>
    <x v="2"/>
    <x v="0"/>
    <x v="8"/>
    <x v="1"/>
    <x v="6"/>
    <x v="0"/>
  </r>
  <r>
    <s v="TX501014"/>
    <x v="5"/>
    <x v="1"/>
    <n v="31.4"/>
    <n v="62.8"/>
    <x v="39"/>
    <d v="2025-02-11T00:00:00"/>
    <x v="2"/>
    <x v="0"/>
    <x v="0"/>
    <x v="0"/>
    <x v="8"/>
    <x v="1"/>
    <x v="6"/>
    <x v="2"/>
  </r>
  <r>
    <s v="TX501015"/>
    <x v="13"/>
    <x v="1"/>
    <n v="53.1"/>
    <n v="106.2"/>
    <x v="39"/>
    <d v="2025-02-12T00:00:00"/>
    <x v="1"/>
    <x v="1"/>
    <x v="0"/>
    <x v="0"/>
    <x v="8"/>
    <x v="2"/>
    <x v="6"/>
    <x v="1"/>
  </r>
  <r>
    <s v="TX501016"/>
    <x v="2"/>
    <x v="12"/>
    <n v="56.2"/>
    <n v="224.8"/>
    <x v="39"/>
    <d v="2025-02-10T00:00:00"/>
    <x v="2"/>
    <x v="0"/>
    <x v="0"/>
    <x v="0"/>
    <x v="8"/>
    <x v="3"/>
    <x v="6"/>
    <x v="2"/>
  </r>
  <r>
    <s v="TX501017"/>
    <x v="1"/>
    <x v="7"/>
    <n v="77.3"/>
    <n v="773"/>
    <x v="39"/>
    <d v="2025-02-10T00:00:00"/>
    <x v="2"/>
    <x v="2"/>
    <x v="0"/>
    <x v="0"/>
    <x v="11"/>
    <x v="3"/>
    <x v="6"/>
    <x v="2"/>
  </r>
  <r>
    <s v="TX501018"/>
    <x v="6"/>
    <x v="15"/>
    <n v="57.8"/>
    <n v="751.4"/>
    <x v="39"/>
    <d v="2025-02-10T00:00:00"/>
    <x v="0"/>
    <x v="0"/>
    <x v="0"/>
    <x v="0"/>
    <x v="53"/>
    <x v="3"/>
    <x v="6"/>
    <x v="0"/>
  </r>
  <r>
    <s v="TX501019"/>
    <x v="12"/>
    <x v="20"/>
    <n v="42.1"/>
    <n v="631.5"/>
    <x v="39"/>
    <d v="2025-02-11T00:00:00"/>
    <x v="2"/>
    <x v="1"/>
    <x v="1"/>
    <x v="0"/>
    <x v="53"/>
    <x v="1"/>
    <x v="6"/>
    <x v="2"/>
  </r>
  <r>
    <s v="TX501020"/>
    <x v="8"/>
    <x v="11"/>
    <n v="22.8"/>
    <n v="205.20000000000002"/>
    <x v="39"/>
    <d v="2025-02-13T00:00:00"/>
    <x v="1"/>
    <x v="2"/>
    <x v="2"/>
    <x v="0"/>
    <x v="19"/>
    <x v="5"/>
    <x v="6"/>
    <x v="1"/>
  </r>
  <r>
    <s v="TX501021"/>
    <x v="2"/>
    <x v="2"/>
    <n v="171.1"/>
    <n v="513.29999999999995"/>
    <x v="40"/>
    <d v="2025-02-17T00:00:00"/>
    <x v="2"/>
    <x v="2"/>
    <x v="1"/>
    <x v="0"/>
    <x v="19"/>
    <x v="6"/>
    <x v="6"/>
    <x v="2"/>
  </r>
  <r>
    <s v="TX501022"/>
    <x v="8"/>
    <x v="0"/>
    <n v="28"/>
    <n v="28"/>
    <x v="40"/>
    <d v="2025-02-12T00:00:00"/>
    <x v="1"/>
    <x v="2"/>
    <x v="2"/>
    <x v="0"/>
    <x v="21"/>
    <x v="1"/>
    <x v="6"/>
    <x v="1"/>
  </r>
  <r>
    <s v="TX501023"/>
    <x v="6"/>
    <x v="3"/>
    <n v="50.2"/>
    <n v="351.40000000000003"/>
    <x v="40"/>
    <d v="2025-02-12T00:00:00"/>
    <x v="1"/>
    <x v="2"/>
    <x v="0"/>
    <x v="0"/>
    <x v="21"/>
    <x v="1"/>
    <x v="6"/>
    <x v="1"/>
  </r>
  <r>
    <s v="TX501024"/>
    <x v="6"/>
    <x v="1"/>
    <n v="56"/>
    <n v="112"/>
    <x v="40"/>
    <d v="2025-02-10T00:00:00"/>
    <x v="1"/>
    <x v="0"/>
    <x v="2"/>
    <x v="0"/>
    <x v="22"/>
    <x v="7"/>
    <x v="6"/>
    <x v="1"/>
  </r>
  <r>
    <s v="TX501025"/>
    <x v="1"/>
    <x v="1"/>
    <n v="38.299999999999997"/>
    <n v="76.599999999999994"/>
    <x v="40"/>
    <d v="2025-02-11T00:00:00"/>
    <x v="2"/>
    <x v="1"/>
    <x v="0"/>
    <x v="0"/>
    <x v="3"/>
    <x v="3"/>
    <x v="6"/>
    <x v="2"/>
  </r>
  <r>
    <s v="TX501026"/>
    <x v="0"/>
    <x v="9"/>
    <n v="22.3"/>
    <n v="111.5"/>
    <x v="40"/>
    <d v="2025-02-14T00:00:00"/>
    <x v="2"/>
    <x v="2"/>
    <x v="1"/>
    <x v="0"/>
    <x v="3"/>
    <x v="5"/>
    <x v="6"/>
    <x v="2"/>
  </r>
  <r>
    <s v="TX501027"/>
    <x v="0"/>
    <x v="2"/>
    <n v="22.3"/>
    <n v="66.900000000000006"/>
    <x v="40"/>
    <d v="2025-02-13T00:00:00"/>
    <x v="2"/>
    <x v="2"/>
    <x v="0"/>
    <x v="0"/>
    <x v="3"/>
    <x v="2"/>
    <x v="6"/>
    <x v="2"/>
  </r>
  <r>
    <s v="TX501028"/>
    <x v="1"/>
    <x v="0"/>
    <n v="32.9"/>
    <n v="32.9"/>
    <x v="40"/>
    <d v="2025-02-15T00:00:00"/>
    <x v="2"/>
    <x v="0"/>
    <x v="0"/>
    <x v="0"/>
    <x v="3"/>
    <x v="0"/>
    <x v="6"/>
    <x v="2"/>
  </r>
  <r>
    <s v="TX501029"/>
    <x v="10"/>
    <x v="2"/>
    <n v="31.9"/>
    <n v="95.699999999999989"/>
    <x v="40"/>
    <d v="2025-02-15T00:00:00"/>
    <x v="2"/>
    <x v="0"/>
    <x v="0"/>
    <x v="0"/>
    <x v="3"/>
    <x v="0"/>
    <x v="6"/>
    <x v="2"/>
  </r>
  <r>
    <s v="TX501030"/>
    <x v="6"/>
    <x v="1"/>
    <n v="94"/>
    <n v="188"/>
    <x v="40"/>
    <d v="2025-02-11T00:00:00"/>
    <x v="1"/>
    <x v="2"/>
    <x v="2"/>
    <x v="0"/>
    <x v="3"/>
    <x v="3"/>
    <x v="6"/>
    <x v="1"/>
  </r>
  <r>
    <s v="TX501031"/>
    <x v="10"/>
    <x v="1"/>
    <n v="30.7"/>
    <n v="61.4"/>
    <x v="40"/>
    <d v="2025-02-11T00:00:00"/>
    <x v="2"/>
    <x v="0"/>
    <x v="1"/>
    <x v="0"/>
    <x v="3"/>
    <x v="3"/>
    <x v="6"/>
    <x v="2"/>
  </r>
  <r>
    <s v="TX501032"/>
    <x v="5"/>
    <x v="9"/>
    <n v="90.5"/>
    <n v="452.5"/>
    <x v="40"/>
    <d v="2025-02-17T00:00:00"/>
    <x v="1"/>
    <x v="0"/>
    <x v="2"/>
    <x v="0"/>
    <x v="3"/>
    <x v="6"/>
    <x v="6"/>
    <x v="1"/>
  </r>
  <r>
    <s v="TX501033"/>
    <x v="8"/>
    <x v="9"/>
    <n v="25.3"/>
    <n v="126.5"/>
    <x v="40"/>
    <d v="2025-02-14T00:00:00"/>
    <x v="2"/>
    <x v="0"/>
    <x v="2"/>
    <x v="0"/>
    <x v="3"/>
    <x v="5"/>
    <x v="6"/>
    <x v="2"/>
  </r>
  <r>
    <s v="TX501034"/>
    <x v="6"/>
    <x v="2"/>
    <n v="58.1"/>
    <n v="174.3"/>
    <x v="40"/>
    <d v="2025-02-14T00:00:00"/>
    <x v="0"/>
    <x v="0"/>
    <x v="2"/>
    <x v="0"/>
    <x v="3"/>
    <x v="5"/>
    <x v="6"/>
    <x v="0"/>
  </r>
  <r>
    <s v="TX501035"/>
    <x v="2"/>
    <x v="2"/>
    <n v="74.900000000000006"/>
    <n v="224.70000000000002"/>
    <x v="40"/>
    <d v="2025-02-11T00:00:00"/>
    <x v="2"/>
    <x v="4"/>
    <x v="0"/>
    <x v="0"/>
    <x v="3"/>
    <x v="3"/>
    <x v="6"/>
    <x v="2"/>
  </r>
  <r>
    <s v="TX501036"/>
    <x v="4"/>
    <x v="1"/>
    <n v="32.5"/>
    <n v="65"/>
    <x v="40"/>
    <d v="2025-02-11T00:00:00"/>
    <x v="1"/>
    <x v="2"/>
    <x v="2"/>
    <x v="0"/>
    <x v="43"/>
    <x v="3"/>
    <x v="6"/>
    <x v="1"/>
  </r>
  <r>
    <s v="TX501037"/>
    <x v="4"/>
    <x v="9"/>
    <n v="62"/>
    <n v="310"/>
    <x v="40"/>
    <d v="2025-02-11T00:00:00"/>
    <x v="1"/>
    <x v="4"/>
    <x v="2"/>
    <x v="0"/>
    <x v="25"/>
    <x v="3"/>
    <x v="6"/>
    <x v="1"/>
  </r>
  <r>
    <s v="TX501038"/>
    <x v="13"/>
    <x v="13"/>
    <n v="28.9"/>
    <n v="173.39999999999998"/>
    <x v="40"/>
    <d v="2025-02-13T00:00:00"/>
    <x v="2"/>
    <x v="0"/>
    <x v="1"/>
    <x v="0"/>
    <x v="6"/>
    <x v="2"/>
    <x v="6"/>
    <x v="2"/>
  </r>
  <r>
    <s v="TX501039"/>
    <x v="6"/>
    <x v="8"/>
    <n v="42.8"/>
    <n v="342.4"/>
    <x v="40"/>
    <d v="2025-02-12T00:00:00"/>
    <x v="2"/>
    <x v="0"/>
    <x v="2"/>
    <x v="0"/>
    <x v="6"/>
    <x v="1"/>
    <x v="6"/>
    <x v="2"/>
  </r>
  <r>
    <s v="TX501040"/>
    <x v="8"/>
    <x v="8"/>
    <n v="39.4"/>
    <n v="315.2"/>
    <x v="40"/>
    <d v="2025-02-12T00:00:00"/>
    <x v="1"/>
    <x v="0"/>
    <x v="0"/>
    <x v="0"/>
    <x v="36"/>
    <x v="1"/>
    <x v="6"/>
    <x v="1"/>
  </r>
  <r>
    <s v="TX501041"/>
    <x v="18"/>
    <x v="2"/>
    <n v="66.400000000000006"/>
    <n v="199.20000000000002"/>
    <x v="40"/>
    <d v="2025-02-11T00:00:00"/>
    <x v="0"/>
    <x v="2"/>
    <x v="1"/>
    <x v="0"/>
    <x v="7"/>
    <x v="3"/>
    <x v="6"/>
    <x v="0"/>
  </r>
  <r>
    <s v="TX501042"/>
    <x v="17"/>
    <x v="12"/>
    <n v="35.9"/>
    <n v="143.6"/>
    <x v="40"/>
    <d v="2025-02-17T00:00:00"/>
    <x v="2"/>
    <x v="1"/>
    <x v="0"/>
    <x v="0"/>
    <x v="7"/>
    <x v="6"/>
    <x v="6"/>
    <x v="2"/>
  </r>
  <r>
    <s v="TX501043"/>
    <x v="0"/>
    <x v="12"/>
    <n v="26.9"/>
    <n v="107.6"/>
    <x v="40"/>
    <d v="2025-02-11T00:00:00"/>
    <x v="1"/>
    <x v="1"/>
    <x v="0"/>
    <x v="0"/>
    <x v="7"/>
    <x v="3"/>
    <x v="6"/>
    <x v="1"/>
  </r>
  <r>
    <s v="TX501044"/>
    <x v="2"/>
    <x v="0"/>
    <n v="55.1"/>
    <n v="55.1"/>
    <x v="40"/>
    <d v="2025-02-11T00:00:00"/>
    <x v="2"/>
    <x v="0"/>
    <x v="0"/>
    <x v="0"/>
    <x v="7"/>
    <x v="3"/>
    <x v="6"/>
    <x v="2"/>
  </r>
  <r>
    <s v="TX501045"/>
    <x v="4"/>
    <x v="1"/>
    <n v="23.9"/>
    <n v="47.8"/>
    <x v="40"/>
    <d v="2025-02-11T00:00:00"/>
    <x v="1"/>
    <x v="0"/>
    <x v="2"/>
    <x v="0"/>
    <x v="8"/>
    <x v="3"/>
    <x v="6"/>
    <x v="1"/>
  </r>
  <r>
    <s v="TX501046"/>
    <x v="9"/>
    <x v="15"/>
    <n v="21.1"/>
    <n v="274.3"/>
    <x v="40"/>
    <d v="2025-02-18T00:00:00"/>
    <x v="2"/>
    <x v="0"/>
    <x v="1"/>
    <x v="0"/>
    <x v="8"/>
    <x v="9"/>
    <x v="6"/>
    <x v="2"/>
  </r>
  <r>
    <s v="TX501047"/>
    <x v="8"/>
    <x v="9"/>
    <n v="33.799999999999997"/>
    <n v="169"/>
    <x v="40"/>
    <d v="2025-02-12T00:00:00"/>
    <x v="2"/>
    <x v="0"/>
    <x v="0"/>
    <x v="0"/>
    <x v="8"/>
    <x v="1"/>
    <x v="6"/>
    <x v="2"/>
  </r>
  <r>
    <s v="TX501048"/>
    <x v="2"/>
    <x v="12"/>
    <n v="56.1"/>
    <n v="224.4"/>
    <x v="40"/>
    <d v="2025-02-10T00:00:00"/>
    <x v="2"/>
    <x v="3"/>
    <x v="2"/>
    <x v="0"/>
    <x v="9"/>
    <x v="7"/>
    <x v="6"/>
    <x v="2"/>
  </r>
  <r>
    <s v="TX501049"/>
    <x v="3"/>
    <x v="0"/>
    <n v="58.5"/>
    <n v="58.5"/>
    <x v="41"/>
    <d v="2025-02-15T00:00:00"/>
    <x v="2"/>
    <x v="1"/>
    <x v="2"/>
    <x v="0"/>
    <x v="9"/>
    <x v="5"/>
    <x v="6"/>
    <x v="2"/>
  </r>
  <r>
    <s v="TX501050"/>
    <x v="6"/>
    <x v="0"/>
    <n v="84.2"/>
    <n v="84.2"/>
    <x v="41"/>
    <d v="2025-02-13T00:00:00"/>
    <x v="1"/>
    <x v="3"/>
    <x v="0"/>
    <x v="0"/>
    <x v="11"/>
    <x v="1"/>
    <x v="6"/>
    <x v="1"/>
  </r>
  <r>
    <s v="TX501051"/>
    <x v="11"/>
    <x v="12"/>
    <n v="52"/>
    <n v="208"/>
    <x v="41"/>
    <d v="2025-02-14T00:00:00"/>
    <x v="1"/>
    <x v="0"/>
    <x v="0"/>
    <x v="0"/>
    <x v="11"/>
    <x v="2"/>
    <x v="6"/>
    <x v="1"/>
  </r>
  <r>
    <s v="TX501052"/>
    <x v="4"/>
    <x v="9"/>
    <n v="31.5"/>
    <n v="157.5"/>
    <x v="41"/>
    <d v="2025-02-12T00:00:00"/>
    <x v="2"/>
    <x v="0"/>
    <x v="2"/>
    <x v="0"/>
    <x v="11"/>
    <x v="3"/>
    <x v="6"/>
    <x v="2"/>
  </r>
  <r>
    <s v="TX501053"/>
    <x v="16"/>
    <x v="2"/>
    <n v="46.2"/>
    <n v="138.60000000000002"/>
    <x v="41"/>
    <d v="2025-02-12T00:00:00"/>
    <x v="1"/>
    <x v="0"/>
    <x v="0"/>
    <x v="0"/>
    <x v="53"/>
    <x v="3"/>
    <x v="6"/>
    <x v="1"/>
  </r>
  <r>
    <s v="TX501054"/>
    <x v="2"/>
    <x v="13"/>
    <n v="135"/>
    <n v="810"/>
    <x v="41"/>
    <d v="2025-02-12T00:00:00"/>
    <x v="2"/>
    <x v="1"/>
    <x v="2"/>
    <x v="0"/>
    <x v="18"/>
    <x v="3"/>
    <x v="6"/>
    <x v="2"/>
  </r>
  <r>
    <s v="TX501055"/>
    <x v="12"/>
    <x v="2"/>
    <n v="92.2"/>
    <n v="276.60000000000002"/>
    <x v="41"/>
    <d v="2025-02-15T00:00:00"/>
    <x v="1"/>
    <x v="0"/>
    <x v="0"/>
    <x v="0"/>
    <x v="21"/>
    <x v="5"/>
    <x v="6"/>
    <x v="1"/>
  </r>
  <r>
    <s v="TX501056"/>
    <x v="8"/>
    <x v="0"/>
    <n v="36.6"/>
    <n v="36.6"/>
    <x v="41"/>
    <d v="2025-02-13T00:00:00"/>
    <x v="1"/>
    <x v="2"/>
    <x v="2"/>
    <x v="0"/>
    <x v="21"/>
    <x v="1"/>
    <x v="6"/>
    <x v="1"/>
  </r>
  <r>
    <s v="TX501057"/>
    <x v="9"/>
    <x v="1"/>
    <n v="50.6"/>
    <n v="101.2"/>
    <x v="41"/>
    <d v="2025-02-14T00:00:00"/>
    <x v="2"/>
    <x v="0"/>
    <x v="0"/>
    <x v="0"/>
    <x v="2"/>
    <x v="2"/>
    <x v="6"/>
    <x v="2"/>
  </r>
  <r>
    <s v="TX501058"/>
    <x v="18"/>
    <x v="3"/>
    <n v="56.7"/>
    <n v="396.90000000000003"/>
    <x v="41"/>
    <d v="2025-02-14T00:00:00"/>
    <x v="2"/>
    <x v="0"/>
    <x v="0"/>
    <x v="0"/>
    <x v="2"/>
    <x v="2"/>
    <x v="6"/>
    <x v="2"/>
  </r>
  <r>
    <s v="TX501059"/>
    <x v="9"/>
    <x v="15"/>
    <n v="22.9"/>
    <n v="297.7"/>
    <x v="41"/>
    <d v="2025-02-12T00:00:00"/>
    <x v="2"/>
    <x v="0"/>
    <x v="1"/>
    <x v="0"/>
    <x v="44"/>
    <x v="3"/>
    <x v="6"/>
    <x v="2"/>
  </r>
  <r>
    <s v="TX501060"/>
    <x v="15"/>
    <x v="10"/>
    <n v="53.6"/>
    <n v="1018.4"/>
    <x v="41"/>
    <d v="2025-02-12T00:00:00"/>
    <x v="1"/>
    <x v="0"/>
    <x v="0"/>
    <x v="0"/>
    <x v="22"/>
    <x v="3"/>
    <x v="6"/>
    <x v="1"/>
  </r>
  <r>
    <s v="TX501061"/>
    <x v="18"/>
    <x v="1"/>
    <n v="30.2"/>
    <n v="60.4"/>
    <x v="41"/>
    <d v="2025-02-13T00:00:00"/>
    <x v="0"/>
    <x v="2"/>
    <x v="2"/>
    <x v="0"/>
    <x v="3"/>
    <x v="1"/>
    <x v="6"/>
    <x v="0"/>
  </r>
  <r>
    <s v="TX501062"/>
    <x v="15"/>
    <x v="13"/>
    <n v="83.4"/>
    <n v="500.40000000000003"/>
    <x v="41"/>
    <d v="2025-02-12T00:00:00"/>
    <x v="1"/>
    <x v="1"/>
    <x v="2"/>
    <x v="0"/>
    <x v="3"/>
    <x v="3"/>
    <x v="6"/>
    <x v="1"/>
  </r>
  <r>
    <s v="TX501063"/>
    <x v="13"/>
    <x v="4"/>
    <n v="16.600000000000001"/>
    <n v="199.20000000000002"/>
    <x v="41"/>
    <d v="2025-02-13T00:00:00"/>
    <x v="1"/>
    <x v="1"/>
    <x v="0"/>
    <x v="0"/>
    <x v="3"/>
    <x v="1"/>
    <x v="6"/>
    <x v="1"/>
  </r>
  <r>
    <s v="TX501064"/>
    <x v="8"/>
    <x v="14"/>
    <n v="21.9"/>
    <n v="372.29999999999995"/>
    <x v="41"/>
    <d v="2025-02-13T00:00:00"/>
    <x v="2"/>
    <x v="4"/>
    <x v="1"/>
    <x v="0"/>
    <x v="3"/>
    <x v="1"/>
    <x v="6"/>
    <x v="2"/>
  </r>
  <r>
    <s v="TX501065"/>
    <x v="8"/>
    <x v="31"/>
    <n v="33.799999999999997"/>
    <n v="946.39999999999986"/>
    <x v="41"/>
    <d v="2025-02-13T00:00:00"/>
    <x v="1"/>
    <x v="2"/>
    <x v="4"/>
    <x v="0"/>
    <x v="3"/>
    <x v="1"/>
    <x v="6"/>
    <x v="1"/>
  </r>
  <r>
    <s v="TX501066"/>
    <x v="18"/>
    <x v="1"/>
    <n v="53.2"/>
    <n v="106.4"/>
    <x v="41"/>
    <d v="2025-02-11T00:00:00"/>
    <x v="1"/>
    <x v="1"/>
    <x v="0"/>
    <x v="0"/>
    <x v="3"/>
    <x v="7"/>
    <x v="6"/>
    <x v="1"/>
  </r>
  <r>
    <s v="TX501067"/>
    <x v="2"/>
    <x v="1"/>
    <n v="176.7"/>
    <n v="353.4"/>
    <x v="41"/>
    <d v="2025-02-14T00:00:00"/>
    <x v="2"/>
    <x v="2"/>
    <x v="0"/>
    <x v="0"/>
    <x v="3"/>
    <x v="2"/>
    <x v="6"/>
    <x v="2"/>
  </r>
  <r>
    <s v="TX501068"/>
    <x v="12"/>
    <x v="2"/>
    <n v="54"/>
    <n v="162"/>
    <x v="41"/>
    <d v="2025-02-14T00:00:00"/>
    <x v="1"/>
    <x v="0"/>
    <x v="1"/>
    <x v="0"/>
    <x v="3"/>
    <x v="2"/>
    <x v="6"/>
    <x v="1"/>
  </r>
  <r>
    <s v="TX501069"/>
    <x v="9"/>
    <x v="1"/>
    <n v="70.099999999999994"/>
    <n v="140.19999999999999"/>
    <x v="41"/>
    <d v="2025-02-19T00:00:00"/>
    <x v="2"/>
    <x v="3"/>
    <x v="2"/>
    <x v="0"/>
    <x v="3"/>
    <x v="9"/>
    <x v="6"/>
    <x v="2"/>
  </r>
  <r>
    <s v="TX501070"/>
    <x v="8"/>
    <x v="0"/>
    <n v="26.5"/>
    <n v="26.5"/>
    <x v="41"/>
    <d v="2025-02-13T00:00:00"/>
    <x v="2"/>
    <x v="1"/>
    <x v="0"/>
    <x v="0"/>
    <x v="3"/>
    <x v="1"/>
    <x v="6"/>
    <x v="2"/>
  </r>
  <r>
    <s v="TX501071"/>
    <x v="7"/>
    <x v="9"/>
    <n v="89"/>
    <n v="445"/>
    <x v="41"/>
    <d v="2025-02-13T00:00:00"/>
    <x v="1"/>
    <x v="2"/>
    <x v="4"/>
    <x v="0"/>
    <x v="3"/>
    <x v="1"/>
    <x v="6"/>
    <x v="1"/>
  </r>
  <r>
    <s v="TX501072"/>
    <x v="1"/>
    <x v="13"/>
    <n v="47"/>
    <n v="282"/>
    <x v="41"/>
    <d v="2025-02-14T00:00:00"/>
    <x v="2"/>
    <x v="3"/>
    <x v="0"/>
    <x v="0"/>
    <x v="24"/>
    <x v="2"/>
    <x v="6"/>
    <x v="2"/>
  </r>
  <r>
    <s v="TX501073"/>
    <x v="3"/>
    <x v="1"/>
    <n v="55.2"/>
    <n v="110.4"/>
    <x v="41"/>
    <d v="2025-02-14T00:00:00"/>
    <x v="1"/>
    <x v="1"/>
    <x v="1"/>
    <x v="0"/>
    <x v="6"/>
    <x v="2"/>
    <x v="6"/>
    <x v="1"/>
  </r>
  <r>
    <s v="TX501074"/>
    <x v="8"/>
    <x v="39"/>
    <n v="33.299999999999997"/>
    <n v="1398.6"/>
    <x v="41"/>
    <d v="2025-02-25T00:00:00"/>
    <x v="1"/>
    <x v="1"/>
    <x v="2"/>
    <x v="0"/>
    <x v="6"/>
    <x v="12"/>
    <x v="6"/>
    <x v="1"/>
  </r>
  <r>
    <s v="TX501075"/>
    <x v="2"/>
    <x v="12"/>
    <n v="110.9"/>
    <n v="443.6"/>
    <x v="42"/>
    <d v="2025-02-12T00:00:00"/>
    <x v="1"/>
    <x v="2"/>
    <x v="4"/>
    <x v="0"/>
    <x v="6"/>
    <x v="7"/>
    <x v="6"/>
    <x v="1"/>
  </r>
  <r>
    <s v="TX501076"/>
    <x v="2"/>
    <x v="13"/>
    <n v="67.3"/>
    <n v="403.79999999999995"/>
    <x v="42"/>
    <d v="2025-02-13T00:00:00"/>
    <x v="1"/>
    <x v="0"/>
    <x v="0"/>
    <x v="0"/>
    <x v="8"/>
    <x v="3"/>
    <x v="6"/>
    <x v="1"/>
  </r>
  <r>
    <s v="TX501077"/>
    <x v="6"/>
    <x v="2"/>
    <n v="69.7"/>
    <n v="209.10000000000002"/>
    <x v="42"/>
    <d v="2025-02-13T00:00:00"/>
    <x v="1"/>
    <x v="2"/>
    <x v="1"/>
    <x v="0"/>
    <x v="8"/>
    <x v="3"/>
    <x v="6"/>
    <x v="1"/>
  </r>
  <r>
    <s v="TX501078"/>
    <x v="5"/>
    <x v="0"/>
    <n v="39.1"/>
    <n v="39.1"/>
    <x v="42"/>
    <d v="2025-02-17T00:00:00"/>
    <x v="1"/>
    <x v="0"/>
    <x v="1"/>
    <x v="0"/>
    <x v="17"/>
    <x v="0"/>
    <x v="6"/>
    <x v="1"/>
  </r>
  <r>
    <s v="TX501079"/>
    <x v="2"/>
    <x v="2"/>
    <n v="208.6"/>
    <n v="625.79999999999995"/>
    <x v="42"/>
    <d v="2025-02-12T00:00:00"/>
    <x v="1"/>
    <x v="4"/>
    <x v="2"/>
    <x v="0"/>
    <x v="17"/>
    <x v="7"/>
    <x v="6"/>
    <x v="1"/>
  </r>
  <r>
    <s v="TX501080"/>
    <x v="15"/>
    <x v="2"/>
    <n v="27.8"/>
    <n v="83.4"/>
    <x v="42"/>
    <d v="2025-02-13T00:00:00"/>
    <x v="1"/>
    <x v="3"/>
    <x v="1"/>
    <x v="0"/>
    <x v="11"/>
    <x v="3"/>
    <x v="6"/>
    <x v="1"/>
  </r>
  <r>
    <s v="TX501081"/>
    <x v="10"/>
    <x v="9"/>
    <n v="29.4"/>
    <n v="147"/>
    <x v="42"/>
    <d v="2025-02-14T00:00:00"/>
    <x v="2"/>
    <x v="0"/>
    <x v="0"/>
    <x v="0"/>
    <x v="11"/>
    <x v="1"/>
    <x v="6"/>
    <x v="2"/>
  </r>
  <r>
    <s v="TX501082"/>
    <x v="9"/>
    <x v="1"/>
    <n v="29.2"/>
    <n v="58.4"/>
    <x v="42"/>
    <d v="2025-02-14T00:00:00"/>
    <x v="2"/>
    <x v="1"/>
    <x v="2"/>
    <x v="0"/>
    <x v="20"/>
    <x v="1"/>
    <x v="6"/>
    <x v="2"/>
  </r>
  <r>
    <s v="TX501083"/>
    <x v="10"/>
    <x v="9"/>
    <n v="26.5"/>
    <n v="132.5"/>
    <x v="42"/>
    <d v="2025-02-14T00:00:00"/>
    <x v="2"/>
    <x v="0"/>
    <x v="0"/>
    <x v="0"/>
    <x v="52"/>
    <x v="1"/>
    <x v="6"/>
    <x v="2"/>
  </r>
  <r>
    <s v="TX501084"/>
    <x v="5"/>
    <x v="0"/>
    <n v="30.3"/>
    <n v="30.3"/>
    <x v="42"/>
    <d v="2025-02-13T00:00:00"/>
    <x v="2"/>
    <x v="4"/>
    <x v="1"/>
    <x v="0"/>
    <x v="13"/>
    <x v="3"/>
    <x v="6"/>
    <x v="2"/>
  </r>
  <r>
    <s v="TX501085"/>
    <x v="16"/>
    <x v="4"/>
    <n v="39.700000000000003"/>
    <n v="476.40000000000003"/>
    <x v="42"/>
    <d v="2025-02-13T00:00:00"/>
    <x v="2"/>
    <x v="0"/>
    <x v="0"/>
    <x v="0"/>
    <x v="21"/>
    <x v="3"/>
    <x v="6"/>
    <x v="2"/>
  </r>
  <r>
    <s v="TX501086"/>
    <x v="7"/>
    <x v="7"/>
    <n v="58.9"/>
    <n v="589"/>
    <x v="42"/>
    <d v="2025-02-14T00:00:00"/>
    <x v="2"/>
    <x v="1"/>
    <x v="4"/>
    <x v="0"/>
    <x v="21"/>
    <x v="1"/>
    <x v="6"/>
    <x v="2"/>
  </r>
  <r>
    <s v="TX501087"/>
    <x v="2"/>
    <x v="1"/>
    <n v="174.1"/>
    <n v="348.2"/>
    <x v="42"/>
    <d v="2025-02-14T00:00:00"/>
    <x v="2"/>
    <x v="0"/>
    <x v="1"/>
    <x v="0"/>
    <x v="46"/>
    <x v="1"/>
    <x v="6"/>
    <x v="2"/>
  </r>
  <r>
    <s v="TX501088"/>
    <x v="6"/>
    <x v="1"/>
    <n v="70.8"/>
    <n v="141.6"/>
    <x v="42"/>
    <d v="2025-02-15T00:00:00"/>
    <x v="1"/>
    <x v="2"/>
    <x v="0"/>
    <x v="0"/>
    <x v="22"/>
    <x v="2"/>
    <x v="6"/>
    <x v="1"/>
  </r>
  <r>
    <s v="TX501089"/>
    <x v="7"/>
    <x v="1"/>
    <n v="57.4"/>
    <n v="114.8"/>
    <x v="42"/>
    <d v="2025-02-14T00:00:00"/>
    <x v="2"/>
    <x v="1"/>
    <x v="1"/>
    <x v="0"/>
    <x v="34"/>
    <x v="1"/>
    <x v="6"/>
    <x v="2"/>
  </r>
  <r>
    <s v="TX501090"/>
    <x v="0"/>
    <x v="1"/>
    <n v="28.5"/>
    <n v="57"/>
    <x v="42"/>
    <d v="2025-02-14T00:00:00"/>
    <x v="1"/>
    <x v="3"/>
    <x v="1"/>
    <x v="0"/>
    <x v="3"/>
    <x v="1"/>
    <x v="6"/>
    <x v="1"/>
  </r>
  <r>
    <s v="TX501091"/>
    <x v="2"/>
    <x v="28"/>
    <n v="106.6"/>
    <n v="2132"/>
    <x v="42"/>
    <d v="2025-02-13T00:00:00"/>
    <x v="0"/>
    <x v="1"/>
    <x v="4"/>
    <x v="0"/>
    <x v="3"/>
    <x v="3"/>
    <x v="6"/>
    <x v="0"/>
  </r>
  <r>
    <s v="TX501092"/>
    <x v="2"/>
    <x v="2"/>
    <n v="119.7"/>
    <n v="359.1"/>
    <x v="42"/>
    <d v="2025-02-13T00:00:00"/>
    <x v="2"/>
    <x v="1"/>
    <x v="4"/>
    <x v="0"/>
    <x v="3"/>
    <x v="3"/>
    <x v="6"/>
    <x v="2"/>
  </r>
  <r>
    <s v="TX501093"/>
    <x v="18"/>
    <x v="0"/>
    <n v="73.3"/>
    <n v="73.3"/>
    <x v="42"/>
    <d v="2025-02-17T00:00:00"/>
    <x v="2"/>
    <x v="0"/>
    <x v="2"/>
    <x v="0"/>
    <x v="3"/>
    <x v="0"/>
    <x v="6"/>
    <x v="2"/>
  </r>
  <r>
    <s v="TX501094"/>
    <x v="0"/>
    <x v="1"/>
    <n v="25.8"/>
    <n v="51.6"/>
    <x v="42"/>
    <d v="2025-02-26T00:00:00"/>
    <x v="1"/>
    <x v="2"/>
    <x v="0"/>
    <x v="0"/>
    <x v="3"/>
    <x v="12"/>
    <x v="6"/>
    <x v="1"/>
  </r>
  <r>
    <s v="TX501095"/>
    <x v="17"/>
    <x v="2"/>
    <n v="49.1"/>
    <n v="147.30000000000001"/>
    <x v="42"/>
    <d v="2025-02-14T00:00:00"/>
    <x v="2"/>
    <x v="0"/>
    <x v="0"/>
    <x v="0"/>
    <x v="24"/>
    <x v="1"/>
    <x v="6"/>
    <x v="2"/>
  </r>
  <r>
    <s v="TX501096"/>
    <x v="1"/>
    <x v="0"/>
    <n v="44.9"/>
    <n v="44.9"/>
    <x v="42"/>
    <d v="2025-02-15T00:00:00"/>
    <x v="2"/>
    <x v="3"/>
    <x v="2"/>
    <x v="0"/>
    <x v="6"/>
    <x v="2"/>
    <x v="6"/>
    <x v="2"/>
  </r>
  <r>
    <s v="TX501097"/>
    <x v="15"/>
    <x v="3"/>
    <n v="29.9"/>
    <n v="209.29999999999998"/>
    <x v="42"/>
    <d v="2025-02-13T00:00:00"/>
    <x v="2"/>
    <x v="0"/>
    <x v="0"/>
    <x v="0"/>
    <x v="6"/>
    <x v="3"/>
    <x v="6"/>
    <x v="2"/>
  </r>
  <r>
    <s v="TX501098"/>
    <x v="7"/>
    <x v="1"/>
    <n v="54.3"/>
    <n v="108.6"/>
    <x v="43"/>
    <d v="2025-02-14T00:00:00"/>
    <x v="1"/>
    <x v="3"/>
    <x v="0"/>
    <x v="0"/>
    <x v="36"/>
    <x v="3"/>
    <x v="6"/>
    <x v="1"/>
  </r>
  <r>
    <s v="TX501099"/>
    <x v="9"/>
    <x v="12"/>
    <n v="57"/>
    <n v="228"/>
    <x v="43"/>
    <d v="2025-02-15T00:00:00"/>
    <x v="2"/>
    <x v="0"/>
    <x v="0"/>
    <x v="0"/>
    <x v="8"/>
    <x v="1"/>
    <x v="6"/>
    <x v="2"/>
  </r>
  <r>
    <s v="TX501100"/>
    <x v="2"/>
    <x v="0"/>
    <n v="139.19999999999999"/>
    <n v="139.19999999999999"/>
    <x v="43"/>
    <d v="2025-02-14T00:00:00"/>
    <x v="2"/>
    <x v="3"/>
    <x v="2"/>
    <x v="0"/>
    <x v="8"/>
    <x v="3"/>
    <x v="6"/>
    <x v="2"/>
  </r>
  <r>
    <s v="TX501101"/>
    <x v="10"/>
    <x v="0"/>
    <n v="33"/>
    <n v="33"/>
    <x v="43"/>
    <d v="2025-02-16T00:00:00"/>
    <x v="2"/>
    <x v="0"/>
    <x v="2"/>
    <x v="0"/>
    <x v="8"/>
    <x v="2"/>
    <x v="6"/>
    <x v="2"/>
  </r>
  <r>
    <s v="TX501102"/>
    <x v="11"/>
    <x v="13"/>
    <n v="80.2"/>
    <n v="481.20000000000005"/>
    <x v="43"/>
    <d v="2025-02-15T00:00:00"/>
    <x v="1"/>
    <x v="1"/>
    <x v="4"/>
    <x v="0"/>
    <x v="8"/>
    <x v="1"/>
    <x v="6"/>
    <x v="1"/>
  </r>
  <r>
    <s v="TX501103"/>
    <x v="18"/>
    <x v="8"/>
    <n v="49"/>
    <n v="392"/>
    <x v="43"/>
    <d v="2025-02-14T00:00:00"/>
    <x v="0"/>
    <x v="2"/>
    <x v="1"/>
    <x v="0"/>
    <x v="9"/>
    <x v="3"/>
    <x v="6"/>
    <x v="0"/>
  </r>
  <r>
    <s v="TX501104"/>
    <x v="1"/>
    <x v="12"/>
    <n v="104.4"/>
    <n v="417.6"/>
    <x v="43"/>
    <d v="2025-02-13T00:00:00"/>
    <x v="2"/>
    <x v="0"/>
    <x v="0"/>
    <x v="0"/>
    <x v="9"/>
    <x v="7"/>
    <x v="6"/>
    <x v="2"/>
  </r>
  <r>
    <s v="TX501105"/>
    <x v="3"/>
    <x v="0"/>
    <n v="41.6"/>
    <n v="41.6"/>
    <x v="43"/>
    <d v="2025-02-16T00:00:00"/>
    <x v="1"/>
    <x v="3"/>
    <x v="0"/>
    <x v="0"/>
    <x v="11"/>
    <x v="2"/>
    <x v="6"/>
    <x v="1"/>
  </r>
  <r>
    <s v="TX501106"/>
    <x v="19"/>
    <x v="1"/>
    <n v="16.399999999999999"/>
    <n v="32.799999999999997"/>
    <x v="43"/>
    <d v="2025-02-14T00:00:00"/>
    <x v="3"/>
    <x v="0"/>
    <x v="2"/>
    <x v="0"/>
    <x v="11"/>
    <x v="3"/>
    <x v="6"/>
    <x v="3"/>
  </r>
  <r>
    <s v="TX501107"/>
    <x v="8"/>
    <x v="1"/>
    <n v="22"/>
    <n v="44"/>
    <x v="43"/>
    <d v="2025-02-14T00:00:00"/>
    <x v="1"/>
    <x v="2"/>
    <x v="2"/>
    <x v="0"/>
    <x v="53"/>
    <x v="3"/>
    <x v="6"/>
    <x v="1"/>
  </r>
  <r>
    <s v="TX501108"/>
    <x v="15"/>
    <x v="1"/>
    <n v="33.6"/>
    <n v="67.2"/>
    <x v="43"/>
    <d v="2025-02-18T00:00:00"/>
    <x v="2"/>
    <x v="0"/>
    <x v="0"/>
    <x v="0"/>
    <x v="21"/>
    <x v="0"/>
    <x v="6"/>
    <x v="2"/>
  </r>
  <r>
    <s v="TX501109"/>
    <x v="11"/>
    <x v="13"/>
    <n v="43"/>
    <n v="258"/>
    <x v="43"/>
    <d v="2025-02-14T00:00:00"/>
    <x v="2"/>
    <x v="2"/>
    <x v="0"/>
    <x v="0"/>
    <x v="21"/>
    <x v="3"/>
    <x v="6"/>
    <x v="2"/>
  </r>
  <r>
    <s v="TX501110"/>
    <x v="6"/>
    <x v="9"/>
    <n v="108.8"/>
    <n v="544"/>
    <x v="43"/>
    <d v="2025-02-16T00:00:00"/>
    <x v="2"/>
    <x v="4"/>
    <x v="2"/>
    <x v="0"/>
    <x v="21"/>
    <x v="2"/>
    <x v="6"/>
    <x v="2"/>
  </r>
  <r>
    <s v="TX501111"/>
    <x v="0"/>
    <x v="11"/>
    <n v="29.3"/>
    <n v="263.7"/>
    <x v="43"/>
    <d v="2025-02-15T00:00:00"/>
    <x v="1"/>
    <x v="4"/>
    <x v="2"/>
    <x v="0"/>
    <x v="21"/>
    <x v="1"/>
    <x v="6"/>
    <x v="1"/>
  </r>
  <r>
    <s v="TX501112"/>
    <x v="2"/>
    <x v="0"/>
    <n v="122.7"/>
    <n v="122.7"/>
    <x v="43"/>
    <d v="2025-02-16T00:00:00"/>
    <x v="3"/>
    <x v="0"/>
    <x v="2"/>
    <x v="0"/>
    <x v="1"/>
    <x v="2"/>
    <x v="6"/>
    <x v="3"/>
  </r>
  <r>
    <s v="TX501113"/>
    <x v="4"/>
    <x v="3"/>
    <n v="22.9"/>
    <n v="160.29999999999998"/>
    <x v="43"/>
    <d v="2025-02-14T00:00:00"/>
    <x v="2"/>
    <x v="0"/>
    <x v="0"/>
    <x v="0"/>
    <x v="42"/>
    <x v="3"/>
    <x v="6"/>
    <x v="2"/>
  </r>
  <r>
    <s v="TX501114"/>
    <x v="8"/>
    <x v="7"/>
    <n v="25.5"/>
    <n v="255"/>
    <x v="43"/>
    <d v="2025-02-20T00:00:00"/>
    <x v="2"/>
    <x v="0"/>
    <x v="0"/>
    <x v="0"/>
    <x v="33"/>
    <x v="6"/>
    <x v="6"/>
    <x v="2"/>
  </r>
  <r>
    <s v="TX501115"/>
    <x v="17"/>
    <x v="2"/>
    <n v="23.4"/>
    <n v="70.199999999999989"/>
    <x v="43"/>
    <d v="2025-02-17T00:00:00"/>
    <x v="2"/>
    <x v="0"/>
    <x v="2"/>
    <x v="0"/>
    <x v="3"/>
    <x v="5"/>
    <x v="6"/>
    <x v="2"/>
  </r>
  <r>
    <s v="TX501116"/>
    <x v="5"/>
    <x v="8"/>
    <n v="27.4"/>
    <n v="219.2"/>
    <x v="43"/>
    <d v="2025-02-16T00:00:00"/>
    <x v="2"/>
    <x v="2"/>
    <x v="0"/>
    <x v="0"/>
    <x v="3"/>
    <x v="2"/>
    <x v="6"/>
    <x v="2"/>
  </r>
  <r>
    <s v="TX501117"/>
    <x v="5"/>
    <x v="9"/>
    <n v="68.400000000000006"/>
    <n v="342"/>
    <x v="43"/>
    <d v="2025-02-14T00:00:00"/>
    <x v="2"/>
    <x v="0"/>
    <x v="0"/>
    <x v="0"/>
    <x v="3"/>
    <x v="3"/>
    <x v="6"/>
    <x v="2"/>
  </r>
  <r>
    <s v="TX501118"/>
    <x v="6"/>
    <x v="0"/>
    <n v="51.9"/>
    <n v="51.9"/>
    <x v="43"/>
    <d v="2025-02-13T00:00:00"/>
    <x v="2"/>
    <x v="0"/>
    <x v="0"/>
    <x v="0"/>
    <x v="3"/>
    <x v="7"/>
    <x v="6"/>
    <x v="2"/>
  </r>
  <r>
    <s v="TX501119"/>
    <x v="0"/>
    <x v="9"/>
    <n v="26.4"/>
    <n v="132"/>
    <x v="43"/>
    <d v="2025-02-16T00:00:00"/>
    <x v="2"/>
    <x v="0"/>
    <x v="2"/>
    <x v="0"/>
    <x v="3"/>
    <x v="2"/>
    <x v="6"/>
    <x v="2"/>
  </r>
  <r>
    <s v="TX501120"/>
    <x v="12"/>
    <x v="1"/>
    <n v="117"/>
    <n v="234"/>
    <x v="43"/>
    <d v="2025-02-14T00:00:00"/>
    <x v="2"/>
    <x v="1"/>
    <x v="1"/>
    <x v="0"/>
    <x v="3"/>
    <x v="3"/>
    <x v="6"/>
    <x v="2"/>
  </r>
  <r>
    <s v="TX501121"/>
    <x v="7"/>
    <x v="2"/>
    <n v="49.6"/>
    <n v="148.80000000000001"/>
    <x v="44"/>
    <d v="2025-02-16T00:00:00"/>
    <x v="2"/>
    <x v="0"/>
    <x v="0"/>
    <x v="0"/>
    <x v="3"/>
    <x v="1"/>
    <x v="6"/>
    <x v="2"/>
  </r>
  <r>
    <s v="TX501122"/>
    <x v="4"/>
    <x v="2"/>
    <n v="38"/>
    <n v="114"/>
    <x v="44"/>
    <d v="2025-02-17T00:00:00"/>
    <x v="1"/>
    <x v="2"/>
    <x v="4"/>
    <x v="0"/>
    <x v="3"/>
    <x v="2"/>
    <x v="6"/>
    <x v="1"/>
  </r>
  <r>
    <s v="TX501123"/>
    <x v="0"/>
    <x v="2"/>
    <n v="20.6"/>
    <n v="61.800000000000004"/>
    <x v="44"/>
    <d v="2025-02-16T00:00:00"/>
    <x v="2"/>
    <x v="4"/>
    <x v="2"/>
    <x v="0"/>
    <x v="3"/>
    <x v="1"/>
    <x v="6"/>
    <x v="2"/>
  </r>
  <r>
    <s v="TX501124"/>
    <x v="0"/>
    <x v="1"/>
    <n v="16"/>
    <n v="32"/>
    <x v="44"/>
    <d v="2025-02-15T00:00:00"/>
    <x v="1"/>
    <x v="1"/>
    <x v="1"/>
    <x v="0"/>
    <x v="49"/>
    <x v="3"/>
    <x v="6"/>
    <x v="1"/>
  </r>
  <r>
    <s v="TX501125"/>
    <x v="15"/>
    <x v="12"/>
    <n v="49.3"/>
    <n v="197.2"/>
    <x v="44"/>
    <d v="2025-02-15T00:00:00"/>
    <x v="2"/>
    <x v="2"/>
    <x v="0"/>
    <x v="0"/>
    <x v="23"/>
    <x v="3"/>
    <x v="6"/>
    <x v="2"/>
  </r>
  <r>
    <s v="TX501126"/>
    <x v="9"/>
    <x v="1"/>
    <n v="24.1"/>
    <n v="48.2"/>
    <x v="44"/>
    <d v="2025-02-18T00:00:00"/>
    <x v="2"/>
    <x v="0"/>
    <x v="0"/>
    <x v="0"/>
    <x v="6"/>
    <x v="5"/>
    <x v="6"/>
    <x v="2"/>
  </r>
  <r>
    <s v="TX501127"/>
    <x v="15"/>
    <x v="8"/>
    <n v="32.700000000000003"/>
    <n v="261.60000000000002"/>
    <x v="44"/>
    <d v="2025-02-15T00:00:00"/>
    <x v="2"/>
    <x v="1"/>
    <x v="0"/>
    <x v="0"/>
    <x v="6"/>
    <x v="3"/>
    <x v="6"/>
    <x v="2"/>
  </r>
  <r>
    <s v="TX501128"/>
    <x v="6"/>
    <x v="2"/>
    <n v="74.400000000000006"/>
    <n v="223.20000000000002"/>
    <x v="44"/>
    <d v="2025-02-15T00:00:00"/>
    <x v="2"/>
    <x v="3"/>
    <x v="2"/>
    <x v="0"/>
    <x v="8"/>
    <x v="3"/>
    <x v="6"/>
    <x v="2"/>
  </r>
  <r>
    <s v="TX501129"/>
    <x v="12"/>
    <x v="0"/>
    <n v="45.6"/>
    <n v="45.6"/>
    <x v="44"/>
    <d v="2025-02-18T00:00:00"/>
    <x v="2"/>
    <x v="4"/>
    <x v="0"/>
    <x v="0"/>
    <x v="8"/>
    <x v="5"/>
    <x v="6"/>
    <x v="2"/>
  </r>
  <r>
    <s v="TX501130"/>
    <x v="8"/>
    <x v="8"/>
    <n v="19.600000000000001"/>
    <n v="156.80000000000001"/>
    <x v="44"/>
    <d v="2025-02-27T00:00:00"/>
    <x v="2"/>
    <x v="0"/>
    <x v="0"/>
    <x v="0"/>
    <x v="8"/>
    <x v="10"/>
    <x v="6"/>
    <x v="2"/>
  </r>
  <r>
    <s v="TX501131"/>
    <x v="9"/>
    <x v="0"/>
    <n v="51.8"/>
    <n v="51.8"/>
    <x v="44"/>
    <d v="2025-02-15T00:00:00"/>
    <x v="2"/>
    <x v="1"/>
    <x v="0"/>
    <x v="0"/>
    <x v="8"/>
    <x v="3"/>
    <x v="6"/>
    <x v="2"/>
  </r>
  <r>
    <s v="TX501132"/>
    <x v="6"/>
    <x v="0"/>
    <n v="74.7"/>
    <n v="74.7"/>
    <x v="44"/>
    <d v="2025-02-15T00:00:00"/>
    <x v="1"/>
    <x v="0"/>
    <x v="1"/>
    <x v="0"/>
    <x v="8"/>
    <x v="3"/>
    <x v="6"/>
    <x v="1"/>
  </r>
  <r>
    <s v="TX501133"/>
    <x v="19"/>
    <x v="2"/>
    <n v="22.4"/>
    <n v="67.199999999999989"/>
    <x v="44"/>
    <d v="2025-02-15T00:00:00"/>
    <x v="2"/>
    <x v="1"/>
    <x v="2"/>
    <x v="0"/>
    <x v="9"/>
    <x v="3"/>
    <x v="6"/>
    <x v="2"/>
  </r>
  <r>
    <s v="TX501134"/>
    <x v="1"/>
    <x v="12"/>
    <n v="31.4"/>
    <n v="125.6"/>
    <x v="44"/>
    <d v="2025-02-15T00:00:00"/>
    <x v="2"/>
    <x v="1"/>
    <x v="0"/>
    <x v="0"/>
    <x v="9"/>
    <x v="3"/>
    <x v="6"/>
    <x v="2"/>
  </r>
  <r>
    <s v="TX501135"/>
    <x v="6"/>
    <x v="0"/>
    <n v="94"/>
    <n v="94"/>
    <x v="44"/>
    <d v="2025-02-14T00:00:00"/>
    <x v="2"/>
    <x v="1"/>
    <x v="2"/>
    <x v="0"/>
    <x v="10"/>
    <x v="7"/>
    <x v="6"/>
    <x v="2"/>
  </r>
  <r>
    <s v="TX501136"/>
    <x v="10"/>
    <x v="0"/>
    <n v="22.3"/>
    <n v="22.3"/>
    <x v="44"/>
    <d v="2025-02-15T00:00:00"/>
    <x v="1"/>
    <x v="4"/>
    <x v="0"/>
    <x v="0"/>
    <x v="20"/>
    <x v="3"/>
    <x v="6"/>
    <x v="1"/>
  </r>
  <r>
    <s v="TX501137"/>
    <x v="0"/>
    <x v="0"/>
    <n v="21.9"/>
    <n v="21.9"/>
    <x v="44"/>
    <d v="2025-02-17T00:00:00"/>
    <x v="2"/>
    <x v="2"/>
    <x v="0"/>
    <x v="0"/>
    <x v="21"/>
    <x v="2"/>
    <x v="6"/>
    <x v="2"/>
  </r>
  <r>
    <s v="TX501138"/>
    <x v="17"/>
    <x v="2"/>
    <n v="27"/>
    <n v="81"/>
    <x v="44"/>
    <d v="2025-02-16T00:00:00"/>
    <x v="2"/>
    <x v="4"/>
    <x v="2"/>
    <x v="0"/>
    <x v="2"/>
    <x v="1"/>
    <x v="6"/>
    <x v="2"/>
  </r>
  <r>
    <s v="TX501139"/>
    <x v="2"/>
    <x v="12"/>
    <n v="149.6"/>
    <n v="598.4"/>
    <x v="44"/>
    <d v="2025-02-14T00:00:00"/>
    <x v="2"/>
    <x v="4"/>
    <x v="0"/>
    <x v="0"/>
    <x v="22"/>
    <x v="7"/>
    <x v="6"/>
    <x v="2"/>
  </r>
  <r>
    <s v="TX501140"/>
    <x v="2"/>
    <x v="12"/>
    <n v="129.1"/>
    <n v="516.4"/>
    <x v="44"/>
    <d v="2025-02-24T00:00:00"/>
    <x v="1"/>
    <x v="0"/>
    <x v="1"/>
    <x v="0"/>
    <x v="3"/>
    <x v="14"/>
    <x v="6"/>
    <x v="1"/>
  </r>
  <r>
    <s v="TX501141"/>
    <x v="1"/>
    <x v="4"/>
    <n v="40.4"/>
    <n v="484.79999999999995"/>
    <x v="44"/>
    <d v="2025-02-15T00:00:00"/>
    <x v="1"/>
    <x v="1"/>
    <x v="1"/>
    <x v="0"/>
    <x v="3"/>
    <x v="3"/>
    <x v="6"/>
    <x v="1"/>
  </r>
  <r>
    <s v="TX501142"/>
    <x v="4"/>
    <x v="2"/>
    <n v="48.5"/>
    <n v="145.5"/>
    <x v="44"/>
    <d v="2025-02-16T00:00:00"/>
    <x v="2"/>
    <x v="0"/>
    <x v="4"/>
    <x v="0"/>
    <x v="3"/>
    <x v="1"/>
    <x v="6"/>
    <x v="2"/>
  </r>
  <r>
    <s v="TX501143"/>
    <x v="9"/>
    <x v="1"/>
    <n v="37.6"/>
    <n v="75.2"/>
    <x v="44"/>
    <d v="2025-02-16T00:00:00"/>
    <x v="2"/>
    <x v="1"/>
    <x v="2"/>
    <x v="0"/>
    <x v="3"/>
    <x v="1"/>
    <x v="6"/>
    <x v="2"/>
  </r>
  <r>
    <s v="TX501144"/>
    <x v="8"/>
    <x v="1"/>
    <n v="19.600000000000001"/>
    <n v="39.200000000000003"/>
    <x v="44"/>
    <d v="2025-02-15T00:00:00"/>
    <x v="1"/>
    <x v="3"/>
    <x v="4"/>
    <x v="0"/>
    <x v="43"/>
    <x v="3"/>
    <x v="6"/>
    <x v="1"/>
  </r>
  <r>
    <s v="TX501145"/>
    <x v="8"/>
    <x v="9"/>
    <n v="18.5"/>
    <n v="92.5"/>
    <x v="44"/>
    <d v="2025-02-15T00:00:00"/>
    <x v="2"/>
    <x v="2"/>
    <x v="1"/>
    <x v="0"/>
    <x v="6"/>
    <x v="3"/>
    <x v="6"/>
    <x v="2"/>
  </r>
  <r>
    <s v="TX501146"/>
    <x v="5"/>
    <x v="2"/>
    <n v="25.5"/>
    <n v="76.5"/>
    <x v="44"/>
    <d v="2025-02-16T00:00:00"/>
    <x v="2"/>
    <x v="4"/>
    <x v="1"/>
    <x v="0"/>
    <x v="6"/>
    <x v="1"/>
    <x v="6"/>
    <x v="2"/>
  </r>
  <r>
    <s v="TX501147"/>
    <x v="2"/>
    <x v="1"/>
    <n v="94.7"/>
    <n v="189.4"/>
    <x v="44"/>
    <d v="2025-02-15T00:00:00"/>
    <x v="2"/>
    <x v="2"/>
    <x v="0"/>
    <x v="0"/>
    <x v="36"/>
    <x v="3"/>
    <x v="6"/>
    <x v="2"/>
  </r>
  <r>
    <s v="TX501148"/>
    <x v="1"/>
    <x v="13"/>
    <n v="38.799999999999997"/>
    <n v="232.79999999999998"/>
    <x v="44"/>
    <d v="2025-02-19T00:00:00"/>
    <x v="2"/>
    <x v="2"/>
    <x v="2"/>
    <x v="0"/>
    <x v="8"/>
    <x v="0"/>
    <x v="6"/>
    <x v="2"/>
  </r>
  <r>
    <s v="TX501149"/>
    <x v="9"/>
    <x v="1"/>
    <n v="49.4"/>
    <n v="98.8"/>
    <x v="45"/>
    <d v="2025-02-23T00:00:00"/>
    <x v="1"/>
    <x v="4"/>
    <x v="1"/>
    <x v="0"/>
    <x v="8"/>
    <x v="9"/>
    <x v="6"/>
    <x v="1"/>
  </r>
  <r>
    <s v="TX501150"/>
    <x v="7"/>
    <x v="2"/>
    <n v="68"/>
    <n v="204"/>
    <x v="45"/>
    <d v="2025-02-18T00:00:00"/>
    <x v="1"/>
    <x v="0"/>
    <x v="2"/>
    <x v="0"/>
    <x v="8"/>
    <x v="2"/>
    <x v="6"/>
    <x v="1"/>
  </r>
  <r>
    <s v="TX501151"/>
    <x v="15"/>
    <x v="3"/>
    <n v="63.7"/>
    <n v="445.90000000000003"/>
    <x v="45"/>
    <d v="2025-02-16T00:00:00"/>
    <x v="2"/>
    <x v="2"/>
    <x v="2"/>
    <x v="0"/>
    <x v="8"/>
    <x v="3"/>
    <x v="6"/>
    <x v="2"/>
  </r>
  <r>
    <s v="TX501152"/>
    <x v="10"/>
    <x v="1"/>
    <n v="66.2"/>
    <n v="132.4"/>
    <x v="45"/>
    <d v="2025-02-16T00:00:00"/>
    <x v="2"/>
    <x v="4"/>
    <x v="2"/>
    <x v="0"/>
    <x v="17"/>
    <x v="3"/>
    <x v="6"/>
    <x v="2"/>
  </r>
  <r>
    <s v="TX501153"/>
    <x v="12"/>
    <x v="2"/>
    <n v="32.299999999999997"/>
    <n v="96.899999999999991"/>
    <x v="45"/>
    <d v="2025-02-16T00:00:00"/>
    <x v="3"/>
    <x v="2"/>
    <x v="1"/>
    <x v="0"/>
    <x v="9"/>
    <x v="3"/>
    <x v="6"/>
    <x v="3"/>
  </r>
  <r>
    <s v="TX501154"/>
    <x v="4"/>
    <x v="1"/>
    <n v="66.900000000000006"/>
    <n v="133.80000000000001"/>
    <x v="45"/>
    <d v="2025-02-18T00:00:00"/>
    <x v="1"/>
    <x v="1"/>
    <x v="0"/>
    <x v="0"/>
    <x v="11"/>
    <x v="2"/>
    <x v="6"/>
    <x v="1"/>
  </r>
  <r>
    <s v="TX501155"/>
    <x v="4"/>
    <x v="4"/>
    <n v="25.2"/>
    <n v="302.39999999999998"/>
    <x v="45"/>
    <d v="2025-02-19T00:00:00"/>
    <x v="2"/>
    <x v="0"/>
    <x v="1"/>
    <x v="0"/>
    <x v="11"/>
    <x v="5"/>
    <x v="6"/>
    <x v="2"/>
  </r>
  <r>
    <s v="TX501156"/>
    <x v="10"/>
    <x v="13"/>
    <n v="29.5"/>
    <n v="177"/>
    <x v="45"/>
    <d v="2025-02-16T00:00:00"/>
    <x v="1"/>
    <x v="2"/>
    <x v="0"/>
    <x v="0"/>
    <x v="11"/>
    <x v="3"/>
    <x v="6"/>
    <x v="1"/>
  </r>
  <r>
    <s v="TX501157"/>
    <x v="8"/>
    <x v="9"/>
    <n v="21.6"/>
    <n v="108"/>
    <x v="45"/>
    <d v="2025-02-17T00:00:00"/>
    <x v="2"/>
    <x v="0"/>
    <x v="2"/>
    <x v="0"/>
    <x v="32"/>
    <x v="1"/>
    <x v="6"/>
    <x v="2"/>
  </r>
  <r>
    <s v="TX501158"/>
    <x v="12"/>
    <x v="2"/>
    <n v="69"/>
    <n v="207"/>
    <x v="45"/>
    <d v="2025-02-16T00:00:00"/>
    <x v="2"/>
    <x v="0"/>
    <x v="0"/>
    <x v="0"/>
    <x v="18"/>
    <x v="3"/>
    <x v="6"/>
    <x v="2"/>
  </r>
  <r>
    <s v="TX501159"/>
    <x v="7"/>
    <x v="1"/>
    <n v="115"/>
    <n v="230"/>
    <x v="45"/>
    <d v="2025-02-19T00:00:00"/>
    <x v="1"/>
    <x v="0"/>
    <x v="2"/>
    <x v="0"/>
    <x v="18"/>
    <x v="5"/>
    <x v="6"/>
    <x v="1"/>
  </r>
  <r>
    <s v="TX501160"/>
    <x v="2"/>
    <x v="1"/>
    <n v="109.3"/>
    <n v="218.6"/>
    <x v="45"/>
    <d v="2025-02-17T00:00:00"/>
    <x v="0"/>
    <x v="3"/>
    <x v="1"/>
    <x v="0"/>
    <x v="19"/>
    <x v="1"/>
    <x v="6"/>
    <x v="0"/>
  </r>
  <r>
    <s v="TX501161"/>
    <x v="9"/>
    <x v="1"/>
    <n v="66.599999999999994"/>
    <n v="133.19999999999999"/>
    <x v="45"/>
    <d v="2025-02-18T00:00:00"/>
    <x v="0"/>
    <x v="4"/>
    <x v="1"/>
    <x v="0"/>
    <x v="19"/>
    <x v="2"/>
    <x v="6"/>
    <x v="0"/>
  </r>
  <r>
    <s v="TX501162"/>
    <x v="12"/>
    <x v="9"/>
    <n v="47.7"/>
    <n v="238.5"/>
    <x v="45"/>
    <d v="2025-02-16T00:00:00"/>
    <x v="1"/>
    <x v="3"/>
    <x v="2"/>
    <x v="0"/>
    <x v="21"/>
    <x v="3"/>
    <x v="6"/>
    <x v="1"/>
  </r>
  <r>
    <s v="TX501163"/>
    <x v="8"/>
    <x v="1"/>
    <n v="46"/>
    <n v="92"/>
    <x v="45"/>
    <d v="2025-02-16T00:00:00"/>
    <x v="2"/>
    <x v="4"/>
    <x v="4"/>
    <x v="0"/>
    <x v="22"/>
    <x v="3"/>
    <x v="6"/>
    <x v="2"/>
  </r>
  <r>
    <s v="TX501164"/>
    <x v="1"/>
    <x v="13"/>
    <n v="39.299999999999997"/>
    <n v="235.79999999999998"/>
    <x v="45"/>
    <d v="2025-02-17T00:00:00"/>
    <x v="1"/>
    <x v="3"/>
    <x v="2"/>
    <x v="0"/>
    <x v="3"/>
    <x v="1"/>
    <x v="6"/>
    <x v="1"/>
  </r>
  <r>
    <s v="TX501165"/>
    <x v="9"/>
    <x v="0"/>
    <n v="70.2"/>
    <n v="70.2"/>
    <x v="45"/>
    <d v="2025-02-16T00:00:00"/>
    <x v="2"/>
    <x v="0"/>
    <x v="4"/>
    <x v="0"/>
    <x v="3"/>
    <x v="3"/>
    <x v="6"/>
    <x v="2"/>
  </r>
  <r>
    <s v="TX501166"/>
    <x v="3"/>
    <x v="12"/>
    <n v="71.5"/>
    <n v="286"/>
    <x v="45"/>
    <d v="2025-02-15T00:00:00"/>
    <x v="2"/>
    <x v="1"/>
    <x v="2"/>
    <x v="0"/>
    <x v="3"/>
    <x v="7"/>
    <x v="6"/>
    <x v="2"/>
  </r>
  <r>
    <s v="TX501167"/>
    <x v="10"/>
    <x v="3"/>
    <n v="31"/>
    <n v="217"/>
    <x v="45"/>
    <d v="2025-02-22T00:00:00"/>
    <x v="2"/>
    <x v="3"/>
    <x v="2"/>
    <x v="0"/>
    <x v="3"/>
    <x v="6"/>
    <x v="6"/>
    <x v="2"/>
  </r>
  <r>
    <s v="TX501168"/>
    <x v="2"/>
    <x v="9"/>
    <n v="68.2"/>
    <n v="341"/>
    <x v="45"/>
    <d v="2025-02-20T00:00:00"/>
    <x v="2"/>
    <x v="0"/>
    <x v="2"/>
    <x v="0"/>
    <x v="3"/>
    <x v="0"/>
    <x v="6"/>
    <x v="2"/>
  </r>
  <r>
    <s v="TX501169"/>
    <x v="2"/>
    <x v="0"/>
    <n v="91.4"/>
    <n v="91.4"/>
    <x v="45"/>
    <d v="2025-02-19T00:00:00"/>
    <x v="2"/>
    <x v="1"/>
    <x v="2"/>
    <x v="0"/>
    <x v="6"/>
    <x v="5"/>
    <x v="6"/>
    <x v="2"/>
  </r>
  <r>
    <s v="TX501170"/>
    <x v="6"/>
    <x v="7"/>
    <n v="112.9"/>
    <n v="1129"/>
    <x v="45"/>
    <d v="2025-02-16T00:00:00"/>
    <x v="2"/>
    <x v="0"/>
    <x v="0"/>
    <x v="0"/>
    <x v="6"/>
    <x v="3"/>
    <x v="6"/>
    <x v="2"/>
  </r>
  <r>
    <s v="TX501171"/>
    <x v="17"/>
    <x v="11"/>
    <n v="33.700000000000003"/>
    <n v="303.3"/>
    <x v="45"/>
    <d v="2025-02-16T00:00:00"/>
    <x v="2"/>
    <x v="1"/>
    <x v="2"/>
    <x v="0"/>
    <x v="8"/>
    <x v="3"/>
    <x v="6"/>
    <x v="2"/>
  </r>
  <r>
    <s v="TX501172"/>
    <x v="15"/>
    <x v="7"/>
    <n v="35.299999999999997"/>
    <n v="353"/>
    <x v="45"/>
    <d v="2025-02-17T00:00:00"/>
    <x v="1"/>
    <x v="2"/>
    <x v="0"/>
    <x v="0"/>
    <x v="8"/>
    <x v="1"/>
    <x v="6"/>
    <x v="1"/>
  </r>
  <r>
    <s v="TX501173"/>
    <x v="18"/>
    <x v="2"/>
    <n v="45.6"/>
    <n v="136.80000000000001"/>
    <x v="45"/>
    <d v="2025-02-19T00:00:00"/>
    <x v="1"/>
    <x v="3"/>
    <x v="0"/>
    <x v="0"/>
    <x v="8"/>
    <x v="5"/>
    <x v="6"/>
    <x v="1"/>
  </r>
  <r>
    <s v="TX501174"/>
    <x v="7"/>
    <x v="3"/>
    <n v="47.1"/>
    <n v="329.7"/>
    <x v="45"/>
    <d v="2025-02-16T00:00:00"/>
    <x v="2"/>
    <x v="4"/>
    <x v="2"/>
    <x v="0"/>
    <x v="9"/>
    <x v="3"/>
    <x v="6"/>
    <x v="2"/>
  </r>
  <r>
    <s v="TX501175"/>
    <x v="8"/>
    <x v="9"/>
    <n v="16.2"/>
    <n v="81"/>
    <x v="45"/>
    <d v="2025-02-17T00:00:00"/>
    <x v="2"/>
    <x v="3"/>
    <x v="2"/>
    <x v="0"/>
    <x v="19"/>
    <x v="1"/>
    <x v="6"/>
    <x v="2"/>
  </r>
  <r>
    <s v="TX501176"/>
    <x v="1"/>
    <x v="1"/>
    <n v="159.69999999999999"/>
    <n v="319.39999999999998"/>
    <x v="46"/>
    <d v="2025-02-17T00:00:00"/>
    <x v="1"/>
    <x v="4"/>
    <x v="0"/>
    <x v="0"/>
    <x v="13"/>
    <x v="3"/>
    <x v="7"/>
    <x v="1"/>
  </r>
  <r>
    <s v="TX501177"/>
    <x v="8"/>
    <x v="12"/>
    <n v="19"/>
    <n v="76"/>
    <x v="46"/>
    <d v="2025-02-23T00:00:00"/>
    <x v="2"/>
    <x v="2"/>
    <x v="2"/>
    <x v="0"/>
    <x v="21"/>
    <x v="6"/>
    <x v="7"/>
    <x v="2"/>
  </r>
  <r>
    <s v="TX501178"/>
    <x v="6"/>
    <x v="13"/>
    <n v="91.1"/>
    <n v="546.59999999999991"/>
    <x v="46"/>
    <d v="2025-02-25T00:00:00"/>
    <x v="2"/>
    <x v="4"/>
    <x v="0"/>
    <x v="0"/>
    <x v="21"/>
    <x v="8"/>
    <x v="7"/>
    <x v="2"/>
  </r>
  <r>
    <s v="TX501179"/>
    <x v="2"/>
    <x v="9"/>
    <n v="94.1"/>
    <n v="470.5"/>
    <x v="46"/>
    <d v="2025-02-19T00:00:00"/>
    <x v="0"/>
    <x v="1"/>
    <x v="1"/>
    <x v="0"/>
    <x v="21"/>
    <x v="2"/>
    <x v="7"/>
    <x v="0"/>
  </r>
  <r>
    <s v="TX501180"/>
    <x v="9"/>
    <x v="11"/>
    <n v="21.1"/>
    <n v="189.9"/>
    <x v="46"/>
    <d v="2025-02-17T00:00:00"/>
    <x v="2"/>
    <x v="4"/>
    <x v="2"/>
    <x v="0"/>
    <x v="51"/>
    <x v="3"/>
    <x v="7"/>
    <x v="2"/>
  </r>
  <r>
    <s v="TX501181"/>
    <x v="8"/>
    <x v="3"/>
    <n v="15.3"/>
    <n v="107.10000000000001"/>
    <x v="46"/>
    <d v="2025-02-24T00:00:00"/>
    <x v="2"/>
    <x v="2"/>
    <x v="0"/>
    <x v="0"/>
    <x v="1"/>
    <x v="9"/>
    <x v="7"/>
    <x v="2"/>
  </r>
  <r>
    <s v="TX501182"/>
    <x v="15"/>
    <x v="12"/>
    <n v="21.3"/>
    <n v="85.2"/>
    <x v="46"/>
    <d v="2025-02-19T00:00:00"/>
    <x v="1"/>
    <x v="1"/>
    <x v="0"/>
    <x v="0"/>
    <x v="3"/>
    <x v="2"/>
    <x v="7"/>
    <x v="1"/>
  </r>
  <r>
    <s v="TX501183"/>
    <x v="0"/>
    <x v="1"/>
    <n v="23.2"/>
    <n v="46.4"/>
    <x v="46"/>
    <d v="2025-02-16T00:00:00"/>
    <x v="0"/>
    <x v="3"/>
    <x v="1"/>
    <x v="0"/>
    <x v="3"/>
    <x v="7"/>
    <x v="7"/>
    <x v="0"/>
  </r>
  <r>
    <s v="TX501184"/>
    <x v="4"/>
    <x v="2"/>
    <n v="25.7"/>
    <n v="77.099999999999994"/>
    <x v="46"/>
    <d v="2025-02-17T00:00:00"/>
    <x v="1"/>
    <x v="4"/>
    <x v="0"/>
    <x v="0"/>
    <x v="3"/>
    <x v="3"/>
    <x v="7"/>
    <x v="1"/>
  </r>
  <r>
    <s v="TX501185"/>
    <x v="0"/>
    <x v="11"/>
    <n v="31.6"/>
    <n v="284.40000000000003"/>
    <x v="46"/>
    <d v="2025-02-18T00:00:00"/>
    <x v="2"/>
    <x v="0"/>
    <x v="0"/>
    <x v="0"/>
    <x v="3"/>
    <x v="1"/>
    <x v="7"/>
    <x v="2"/>
  </r>
  <r>
    <s v="TX501186"/>
    <x v="6"/>
    <x v="0"/>
    <n v="64.2"/>
    <n v="64.2"/>
    <x v="46"/>
    <d v="2025-02-21T00:00:00"/>
    <x v="1"/>
    <x v="0"/>
    <x v="0"/>
    <x v="0"/>
    <x v="3"/>
    <x v="0"/>
    <x v="7"/>
    <x v="1"/>
  </r>
  <r>
    <s v="TX501187"/>
    <x v="8"/>
    <x v="1"/>
    <n v="55.8"/>
    <n v="111.6"/>
    <x v="46"/>
    <d v="2025-02-18T00:00:00"/>
    <x v="0"/>
    <x v="0"/>
    <x v="0"/>
    <x v="0"/>
    <x v="3"/>
    <x v="1"/>
    <x v="7"/>
    <x v="0"/>
  </r>
  <r>
    <s v="TX501188"/>
    <x v="8"/>
    <x v="1"/>
    <n v="28.1"/>
    <n v="56.2"/>
    <x v="46"/>
    <d v="2025-02-17T00:00:00"/>
    <x v="2"/>
    <x v="4"/>
    <x v="1"/>
    <x v="0"/>
    <x v="3"/>
    <x v="3"/>
    <x v="7"/>
    <x v="2"/>
  </r>
  <r>
    <s v="TX501189"/>
    <x v="0"/>
    <x v="1"/>
    <n v="11.6"/>
    <n v="23.2"/>
    <x v="46"/>
    <d v="2025-02-18T00:00:00"/>
    <x v="2"/>
    <x v="1"/>
    <x v="0"/>
    <x v="0"/>
    <x v="24"/>
    <x v="1"/>
    <x v="7"/>
    <x v="2"/>
  </r>
  <r>
    <s v="TX501190"/>
    <x v="5"/>
    <x v="2"/>
    <n v="50.4"/>
    <n v="151.19999999999999"/>
    <x v="46"/>
    <d v="2025-02-17T00:00:00"/>
    <x v="1"/>
    <x v="4"/>
    <x v="2"/>
    <x v="0"/>
    <x v="25"/>
    <x v="3"/>
    <x v="7"/>
    <x v="1"/>
  </r>
  <r>
    <s v="TX501191"/>
    <x v="6"/>
    <x v="13"/>
    <n v="48.3"/>
    <n v="289.79999999999995"/>
    <x v="46"/>
    <d v="2025-02-20T00:00:00"/>
    <x v="2"/>
    <x v="0"/>
    <x v="0"/>
    <x v="0"/>
    <x v="25"/>
    <x v="5"/>
    <x v="7"/>
    <x v="2"/>
  </r>
  <r>
    <s v="TX501192"/>
    <x v="17"/>
    <x v="3"/>
    <n v="32.200000000000003"/>
    <n v="225.40000000000003"/>
    <x v="46"/>
    <d v="2025-02-18T00:00:00"/>
    <x v="2"/>
    <x v="2"/>
    <x v="0"/>
    <x v="0"/>
    <x v="25"/>
    <x v="1"/>
    <x v="7"/>
    <x v="2"/>
  </r>
  <r>
    <s v="TX501193"/>
    <x v="7"/>
    <x v="31"/>
    <n v="48.5"/>
    <n v="1358"/>
    <x v="46"/>
    <d v="2025-02-17T00:00:00"/>
    <x v="1"/>
    <x v="0"/>
    <x v="0"/>
    <x v="0"/>
    <x v="5"/>
    <x v="3"/>
    <x v="7"/>
    <x v="1"/>
  </r>
  <r>
    <s v="TX501194"/>
    <x v="2"/>
    <x v="9"/>
    <n v="62"/>
    <n v="310"/>
    <x v="46"/>
    <d v="2025-02-19T00:00:00"/>
    <x v="2"/>
    <x v="1"/>
    <x v="0"/>
    <x v="0"/>
    <x v="6"/>
    <x v="2"/>
    <x v="7"/>
    <x v="2"/>
  </r>
  <r>
    <s v="TX501195"/>
    <x v="8"/>
    <x v="2"/>
    <n v="32.1"/>
    <n v="96.300000000000011"/>
    <x v="47"/>
    <d v="2025-02-19T00:00:00"/>
    <x v="1"/>
    <x v="0"/>
    <x v="0"/>
    <x v="0"/>
    <x v="6"/>
    <x v="1"/>
    <x v="7"/>
    <x v="1"/>
  </r>
  <r>
    <s v="TX501196"/>
    <x v="12"/>
    <x v="2"/>
    <n v="106.1"/>
    <n v="318.29999999999995"/>
    <x v="47"/>
    <d v="2025-02-19T00:00:00"/>
    <x v="1"/>
    <x v="0"/>
    <x v="1"/>
    <x v="0"/>
    <x v="7"/>
    <x v="1"/>
    <x v="7"/>
    <x v="1"/>
  </r>
  <r>
    <s v="TX501197"/>
    <x v="10"/>
    <x v="2"/>
    <n v="23.5"/>
    <n v="70.5"/>
    <x v="47"/>
    <d v="2025-02-20T00:00:00"/>
    <x v="1"/>
    <x v="0"/>
    <x v="4"/>
    <x v="0"/>
    <x v="7"/>
    <x v="2"/>
    <x v="7"/>
    <x v="1"/>
  </r>
  <r>
    <s v="TX501198"/>
    <x v="1"/>
    <x v="1"/>
    <n v="35.6"/>
    <n v="71.2"/>
    <x v="47"/>
    <d v="2025-02-22T00:00:00"/>
    <x v="1"/>
    <x v="4"/>
    <x v="0"/>
    <x v="0"/>
    <x v="8"/>
    <x v="0"/>
    <x v="7"/>
    <x v="1"/>
  </r>
  <r>
    <s v="TX501199"/>
    <x v="1"/>
    <x v="1"/>
    <n v="63.5"/>
    <n v="127"/>
    <x v="47"/>
    <d v="2025-02-17T00:00:00"/>
    <x v="2"/>
    <x v="1"/>
    <x v="2"/>
    <x v="0"/>
    <x v="8"/>
    <x v="7"/>
    <x v="7"/>
    <x v="2"/>
  </r>
  <r>
    <s v="TX501200"/>
    <x v="6"/>
    <x v="3"/>
    <n v="82.9"/>
    <n v="580.30000000000007"/>
    <x v="47"/>
    <d v="2025-02-22T00:00:00"/>
    <x v="2"/>
    <x v="4"/>
    <x v="0"/>
    <x v="0"/>
    <x v="9"/>
    <x v="0"/>
    <x v="7"/>
    <x v="2"/>
  </r>
  <r>
    <s v="TX501201"/>
    <x v="6"/>
    <x v="1"/>
    <n v="83.6"/>
    <n v="167.2"/>
    <x v="47"/>
    <d v="2025-02-22T00:00:00"/>
    <x v="2"/>
    <x v="0"/>
    <x v="0"/>
    <x v="0"/>
    <x v="11"/>
    <x v="0"/>
    <x v="7"/>
    <x v="2"/>
  </r>
  <r>
    <s v="TX501202"/>
    <x v="4"/>
    <x v="1"/>
    <n v="29.4"/>
    <n v="58.8"/>
    <x v="47"/>
    <d v="2025-02-17T00:00:00"/>
    <x v="2"/>
    <x v="0"/>
    <x v="1"/>
    <x v="0"/>
    <x v="30"/>
    <x v="7"/>
    <x v="7"/>
    <x v="2"/>
  </r>
  <r>
    <s v="TX501203"/>
    <x v="2"/>
    <x v="2"/>
    <n v="107.1"/>
    <n v="321.29999999999995"/>
    <x v="47"/>
    <d v="2025-02-21T00:00:00"/>
    <x v="2"/>
    <x v="2"/>
    <x v="0"/>
    <x v="0"/>
    <x v="20"/>
    <x v="5"/>
    <x v="7"/>
    <x v="2"/>
  </r>
  <r>
    <s v="TX501204"/>
    <x v="2"/>
    <x v="0"/>
    <n v="62.7"/>
    <n v="62.7"/>
    <x v="47"/>
    <d v="2025-02-21T00:00:00"/>
    <x v="1"/>
    <x v="1"/>
    <x v="0"/>
    <x v="0"/>
    <x v="21"/>
    <x v="5"/>
    <x v="7"/>
    <x v="1"/>
  </r>
  <r>
    <s v="TX501205"/>
    <x v="11"/>
    <x v="0"/>
    <n v="41.6"/>
    <n v="41.6"/>
    <x v="47"/>
    <d v="2025-02-18T00:00:00"/>
    <x v="1"/>
    <x v="0"/>
    <x v="1"/>
    <x v="0"/>
    <x v="1"/>
    <x v="3"/>
    <x v="7"/>
    <x v="1"/>
  </r>
  <r>
    <s v="TX501206"/>
    <x v="6"/>
    <x v="0"/>
    <n v="44.2"/>
    <n v="44.2"/>
    <x v="47"/>
    <d v="2025-02-18T00:00:00"/>
    <x v="3"/>
    <x v="0"/>
    <x v="1"/>
    <x v="0"/>
    <x v="1"/>
    <x v="3"/>
    <x v="7"/>
    <x v="3"/>
  </r>
  <r>
    <s v="TX501207"/>
    <x v="4"/>
    <x v="13"/>
    <n v="40.4"/>
    <n v="242.39999999999998"/>
    <x v="47"/>
    <d v="2025-03-02T00:00:00"/>
    <x v="2"/>
    <x v="2"/>
    <x v="0"/>
    <x v="0"/>
    <x v="22"/>
    <x v="10"/>
    <x v="7"/>
    <x v="2"/>
  </r>
  <r>
    <s v="TX501208"/>
    <x v="15"/>
    <x v="13"/>
    <n v="59.6"/>
    <n v="357.6"/>
    <x v="47"/>
    <d v="2025-02-18T00:00:00"/>
    <x v="2"/>
    <x v="4"/>
    <x v="0"/>
    <x v="0"/>
    <x v="34"/>
    <x v="3"/>
    <x v="7"/>
    <x v="2"/>
  </r>
  <r>
    <s v="TX501209"/>
    <x v="17"/>
    <x v="4"/>
    <n v="63.8"/>
    <n v="765.59999999999991"/>
    <x v="47"/>
    <d v="2025-02-18T00:00:00"/>
    <x v="1"/>
    <x v="1"/>
    <x v="0"/>
    <x v="0"/>
    <x v="3"/>
    <x v="3"/>
    <x v="7"/>
    <x v="1"/>
  </r>
  <r>
    <s v="TX501210"/>
    <x v="9"/>
    <x v="13"/>
    <n v="30.8"/>
    <n v="184.8"/>
    <x v="47"/>
    <d v="2025-02-19T00:00:00"/>
    <x v="1"/>
    <x v="4"/>
    <x v="0"/>
    <x v="0"/>
    <x v="3"/>
    <x v="1"/>
    <x v="7"/>
    <x v="1"/>
  </r>
  <r>
    <s v="TX501211"/>
    <x v="1"/>
    <x v="1"/>
    <n v="41.5"/>
    <n v="83"/>
    <x v="47"/>
    <d v="2025-02-20T00:00:00"/>
    <x v="3"/>
    <x v="0"/>
    <x v="0"/>
    <x v="0"/>
    <x v="3"/>
    <x v="2"/>
    <x v="7"/>
    <x v="3"/>
  </r>
  <r>
    <s v="TX501212"/>
    <x v="10"/>
    <x v="12"/>
    <n v="44.7"/>
    <n v="178.8"/>
    <x v="47"/>
    <d v="2025-02-19T00:00:00"/>
    <x v="2"/>
    <x v="2"/>
    <x v="1"/>
    <x v="0"/>
    <x v="3"/>
    <x v="1"/>
    <x v="7"/>
    <x v="2"/>
  </r>
  <r>
    <s v="TX501213"/>
    <x v="12"/>
    <x v="1"/>
    <n v="64.099999999999994"/>
    <n v="128.19999999999999"/>
    <x v="47"/>
    <d v="2025-02-21T00:00:00"/>
    <x v="2"/>
    <x v="1"/>
    <x v="4"/>
    <x v="0"/>
    <x v="3"/>
    <x v="5"/>
    <x v="7"/>
    <x v="2"/>
  </r>
  <r>
    <s v="TX501214"/>
    <x v="8"/>
    <x v="0"/>
    <n v="15.9"/>
    <n v="15.9"/>
    <x v="47"/>
    <d v="2025-02-20T00:00:00"/>
    <x v="0"/>
    <x v="1"/>
    <x v="0"/>
    <x v="0"/>
    <x v="3"/>
    <x v="2"/>
    <x v="7"/>
    <x v="0"/>
  </r>
  <r>
    <s v="TX501215"/>
    <x v="6"/>
    <x v="1"/>
    <n v="78.7"/>
    <n v="157.4"/>
    <x v="47"/>
    <d v="2025-02-17T00:00:00"/>
    <x v="2"/>
    <x v="2"/>
    <x v="1"/>
    <x v="0"/>
    <x v="3"/>
    <x v="7"/>
    <x v="7"/>
    <x v="2"/>
  </r>
  <r>
    <s v="TX501216"/>
    <x v="5"/>
    <x v="4"/>
    <n v="29.6"/>
    <n v="355.20000000000005"/>
    <x v="47"/>
    <d v="2025-02-21T00:00:00"/>
    <x v="1"/>
    <x v="2"/>
    <x v="4"/>
    <x v="0"/>
    <x v="3"/>
    <x v="5"/>
    <x v="7"/>
    <x v="1"/>
  </r>
  <r>
    <s v="TX501217"/>
    <x v="8"/>
    <x v="12"/>
    <n v="21.5"/>
    <n v="86"/>
    <x v="47"/>
    <d v="2025-02-20T00:00:00"/>
    <x v="1"/>
    <x v="1"/>
    <x v="0"/>
    <x v="0"/>
    <x v="3"/>
    <x v="2"/>
    <x v="7"/>
    <x v="1"/>
  </r>
  <r>
    <s v="TX501218"/>
    <x v="9"/>
    <x v="2"/>
    <n v="74.900000000000006"/>
    <n v="224.70000000000002"/>
    <x v="47"/>
    <d v="2025-02-26T00:00:00"/>
    <x v="1"/>
    <x v="3"/>
    <x v="1"/>
    <x v="0"/>
    <x v="3"/>
    <x v="8"/>
    <x v="7"/>
    <x v="1"/>
  </r>
  <r>
    <s v="TX501219"/>
    <x v="10"/>
    <x v="13"/>
    <n v="45"/>
    <n v="270"/>
    <x v="47"/>
    <d v="2025-02-22T00:00:00"/>
    <x v="2"/>
    <x v="2"/>
    <x v="0"/>
    <x v="0"/>
    <x v="3"/>
    <x v="0"/>
    <x v="7"/>
    <x v="2"/>
  </r>
  <r>
    <s v="TX501220"/>
    <x v="7"/>
    <x v="33"/>
    <n v="37.9"/>
    <n v="1288.5999999999999"/>
    <x v="47"/>
    <d v="2025-02-18T00:00:00"/>
    <x v="1"/>
    <x v="0"/>
    <x v="0"/>
    <x v="0"/>
    <x v="3"/>
    <x v="3"/>
    <x v="7"/>
    <x v="1"/>
  </r>
  <r>
    <s v="TX501221"/>
    <x v="6"/>
    <x v="2"/>
    <n v="56.6"/>
    <n v="169.8"/>
    <x v="47"/>
    <d v="2025-02-18T00:00:00"/>
    <x v="1"/>
    <x v="3"/>
    <x v="0"/>
    <x v="0"/>
    <x v="3"/>
    <x v="3"/>
    <x v="7"/>
    <x v="1"/>
  </r>
  <r>
    <s v="TX501222"/>
    <x v="3"/>
    <x v="15"/>
    <n v="84.5"/>
    <n v="1098.5"/>
    <x v="47"/>
    <d v="2025-02-20T00:00:00"/>
    <x v="2"/>
    <x v="1"/>
    <x v="4"/>
    <x v="0"/>
    <x v="3"/>
    <x v="2"/>
    <x v="7"/>
    <x v="2"/>
  </r>
  <r>
    <s v="TX501223"/>
    <x v="2"/>
    <x v="9"/>
    <n v="105.4"/>
    <n v="527"/>
    <x v="47"/>
    <d v="2025-02-19T00:00:00"/>
    <x v="2"/>
    <x v="1"/>
    <x v="1"/>
    <x v="0"/>
    <x v="3"/>
    <x v="1"/>
    <x v="7"/>
    <x v="2"/>
  </r>
  <r>
    <s v="TX501224"/>
    <x v="18"/>
    <x v="3"/>
    <n v="39.4"/>
    <n v="275.8"/>
    <x v="48"/>
    <d v="2025-02-18T00:00:00"/>
    <x v="1"/>
    <x v="1"/>
    <x v="0"/>
    <x v="0"/>
    <x v="37"/>
    <x v="7"/>
    <x v="7"/>
    <x v="1"/>
  </r>
  <r>
    <s v="TX501225"/>
    <x v="19"/>
    <x v="2"/>
    <n v="38"/>
    <n v="114"/>
    <x v="48"/>
    <d v="2025-02-21T00:00:00"/>
    <x v="1"/>
    <x v="4"/>
    <x v="1"/>
    <x v="0"/>
    <x v="6"/>
    <x v="2"/>
    <x v="7"/>
    <x v="1"/>
  </r>
  <r>
    <s v="TX501226"/>
    <x v="17"/>
    <x v="12"/>
    <n v="42.5"/>
    <n v="170"/>
    <x v="48"/>
    <d v="2025-02-20T00:00:00"/>
    <x v="0"/>
    <x v="0"/>
    <x v="0"/>
    <x v="0"/>
    <x v="6"/>
    <x v="1"/>
    <x v="7"/>
    <x v="0"/>
  </r>
  <r>
    <s v="TX501227"/>
    <x v="15"/>
    <x v="0"/>
    <n v="62.3"/>
    <n v="62.3"/>
    <x v="48"/>
    <d v="2025-02-27T00:00:00"/>
    <x v="1"/>
    <x v="0"/>
    <x v="2"/>
    <x v="0"/>
    <x v="6"/>
    <x v="8"/>
    <x v="7"/>
    <x v="1"/>
  </r>
  <r>
    <s v="TX501228"/>
    <x v="6"/>
    <x v="9"/>
    <n v="49.1"/>
    <n v="245.5"/>
    <x v="48"/>
    <d v="2025-02-20T00:00:00"/>
    <x v="2"/>
    <x v="1"/>
    <x v="2"/>
    <x v="0"/>
    <x v="7"/>
    <x v="1"/>
    <x v="7"/>
    <x v="2"/>
  </r>
  <r>
    <s v="TX501229"/>
    <x v="3"/>
    <x v="1"/>
    <n v="30.5"/>
    <n v="61"/>
    <x v="48"/>
    <d v="2025-02-21T00:00:00"/>
    <x v="1"/>
    <x v="0"/>
    <x v="2"/>
    <x v="0"/>
    <x v="8"/>
    <x v="2"/>
    <x v="7"/>
    <x v="1"/>
  </r>
  <r>
    <s v="TX501230"/>
    <x v="2"/>
    <x v="1"/>
    <n v="154.80000000000001"/>
    <n v="309.60000000000002"/>
    <x v="48"/>
    <d v="2025-02-21T00:00:00"/>
    <x v="2"/>
    <x v="1"/>
    <x v="4"/>
    <x v="0"/>
    <x v="8"/>
    <x v="2"/>
    <x v="7"/>
    <x v="2"/>
  </r>
  <r>
    <s v="TX501231"/>
    <x v="6"/>
    <x v="0"/>
    <n v="45"/>
    <n v="45"/>
    <x v="48"/>
    <d v="2025-02-22T00:00:00"/>
    <x v="1"/>
    <x v="3"/>
    <x v="1"/>
    <x v="0"/>
    <x v="8"/>
    <x v="5"/>
    <x v="7"/>
    <x v="1"/>
  </r>
  <r>
    <s v="TX501232"/>
    <x v="0"/>
    <x v="3"/>
    <n v="15.3"/>
    <n v="107.10000000000001"/>
    <x v="48"/>
    <d v="2025-02-19T00:00:00"/>
    <x v="1"/>
    <x v="0"/>
    <x v="2"/>
    <x v="0"/>
    <x v="8"/>
    <x v="3"/>
    <x v="7"/>
    <x v="1"/>
  </r>
  <r>
    <s v="TX501233"/>
    <x v="2"/>
    <x v="5"/>
    <n v="88.6"/>
    <n v="974.59999999999991"/>
    <x v="48"/>
    <d v="2025-02-21T00:00:00"/>
    <x v="2"/>
    <x v="0"/>
    <x v="4"/>
    <x v="0"/>
    <x v="17"/>
    <x v="2"/>
    <x v="7"/>
    <x v="2"/>
  </r>
  <r>
    <s v="TX501234"/>
    <x v="9"/>
    <x v="1"/>
    <n v="49.7"/>
    <n v="99.4"/>
    <x v="48"/>
    <d v="2025-02-20T00:00:00"/>
    <x v="3"/>
    <x v="4"/>
    <x v="0"/>
    <x v="0"/>
    <x v="10"/>
    <x v="1"/>
    <x v="7"/>
    <x v="3"/>
  </r>
  <r>
    <s v="TX501235"/>
    <x v="10"/>
    <x v="0"/>
    <n v="29"/>
    <n v="29"/>
    <x v="48"/>
    <d v="2025-02-19T00:00:00"/>
    <x v="1"/>
    <x v="0"/>
    <x v="0"/>
    <x v="0"/>
    <x v="11"/>
    <x v="3"/>
    <x v="7"/>
    <x v="1"/>
  </r>
  <r>
    <s v="TX501236"/>
    <x v="1"/>
    <x v="0"/>
    <n v="60.7"/>
    <n v="60.7"/>
    <x v="48"/>
    <d v="2025-02-19T00:00:00"/>
    <x v="3"/>
    <x v="0"/>
    <x v="1"/>
    <x v="0"/>
    <x v="11"/>
    <x v="3"/>
    <x v="7"/>
    <x v="3"/>
  </r>
  <r>
    <s v="TX501237"/>
    <x v="17"/>
    <x v="12"/>
    <n v="87.4"/>
    <n v="349.6"/>
    <x v="48"/>
    <d v="2025-02-20T00:00:00"/>
    <x v="0"/>
    <x v="0"/>
    <x v="0"/>
    <x v="0"/>
    <x v="11"/>
    <x v="1"/>
    <x v="7"/>
    <x v="0"/>
  </r>
  <r>
    <s v="TX501238"/>
    <x v="4"/>
    <x v="3"/>
    <n v="44.5"/>
    <n v="311.5"/>
    <x v="48"/>
    <d v="2025-02-22T00:00:00"/>
    <x v="2"/>
    <x v="2"/>
    <x v="2"/>
    <x v="0"/>
    <x v="19"/>
    <x v="5"/>
    <x v="7"/>
    <x v="2"/>
  </r>
  <r>
    <s v="TX501239"/>
    <x v="2"/>
    <x v="0"/>
    <n v="141"/>
    <n v="141"/>
    <x v="48"/>
    <d v="2025-02-19T00:00:00"/>
    <x v="1"/>
    <x v="4"/>
    <x v="2"/>
    <x v="0"/>
    <x v="19"/>
    <x v="3"/>
    <x v="7"/>
    <x v="1"/>
  </r>
  <r>
    <s v="TX501240"/>
    <x v="0"/>
    <x v="2"/>
    <n v="16.7"/>
    <n v="50.099999999999994"/>
    <x v="48"/>
    <d v="2025-02-26T00:00:00"/>
    <x v="2"/>
    <x v="0"/>
    <x v="0"/>
    <x v="0"/>
    <x v="20"/>
    <x v="9"/>
    <x v="7"/>
    <x v="2"/>
  </r>
  <r>
    <s v="TX501241"/>
    <x v="1"/>
    <x v="1"/>
    <n v="77.5"/>
    <n v="155"/>
    <x v="48"/>
    <d v="2025-02-19T00:00:00"/>
    <x v="0"/>
    <x v="2"/>
    <x v="2"/>
    <x v="0"/>
    <x v="13"/>
    <x v="3"/>
    <x v="7"/>
    <x v="0"/>
  </r>
  <r>
    <s v="TX501242"/>
    <x v="2"/>
    <x v="1"/>
    <n v="163"/>
    <n v="326"/>
    <x v="48"/>
    <d v="2025-02-24T00:00:00"/>
    <x v="2"/>
    <x v="4"/>
    <x v="0"/>
    <x v="0"/>
    <x v="21"/>
    <x v="4"/>
    <x v="7"/>
    <x v="2"/>
  </r>
  <r>
    <s v="TX501243"/>
    <x v="4"/>
    <x v="11"/>
    <n v="21.4"/>
    <n v="192.6"/>
    <x v="48"/>
    <d v="2025-02-21T00:00:00"/>
    <x v="2"/>
    <x v="0"/>
    <x v="0"/>
    <x v="0"/>
    <x v="51"/>
    <x v="2"/>
    <x v="7"/>
    <x v="2"/>
  </r>
  <r>
    <s v="TX501244"/>
    <x v="10"/>
    <x v="5"/>
    <n v="31"/>
    <n v="341"/>
    <x v="48"/>
    <d v="2025-02-20T00:00:00"/>
    <x v="2"/>
    <x v="3"/>
    <x v="2"/>
    <x v="0"/>
    <x v="1"/>
    <x v="1"/>
    <x v="7"/>
    <x v="2"/>
  </r>
  <r>
    <s v="TX501245"/>
    <x v="7"/>
    <x v="1"/>
    <n v="34.299999999999997"/>
    <n v="68.599999999999994"/>
    <x v="48"/>
    <d v="2025-02-20T00:00:00"/>
    <x v="2"/>
    <x v="0"/>
    <x v="3"/>
    <x v="0"/>
    <x v="1"/>
    <x v="1"/>
    <x v="7"/>
    <x v="2"/>
  </r>
  <r>
    <s v="TX501246"/>
    <x v="17"/>
    <x v="9"/>
    <n v="48.2"/>
    <n v="241"/>
    <x v="48"/>
    <d v="2025-02-19T00:00:00"/>
    <x v="1"/>
    <x v="1"/>
    <x v="1"/>
    <x v="0"/>
    <x v="2"/>
    <x v="3"/>
    <x v="7"/>
    <x v="1"/>
  </r>
  <r>
    <s v="TX501247"/>
    <x v="10"/>
    <x v="0"/>
    <n v="51.4"/>
    <n v="51.4"/>
    <x v="48"/>
    <d v="2025-02-19T00:00:00"/>
    <x v="1"/>
    <x v="0"/>
    <x v="0"/>
    <x v="0"/>
    <x v="3"/>
    <x v="3"/>
    <x v="7"/>
    <x v="1"/>
  </r>
  <r>
    <s v="TX501248"/>
    <x v="2"/>
    <x v="9"/>
    <n v="117.2"/>
    <n v="586"/>
    <x v="48"/>
    <d v="2025-02-21T00:00:00"/>
    <x v="2"/>
    <x v="4"/>
    <x v="4"/>
    <x v="0"/>
    <x v="3"/>
    <x v="2"/>
    <x v="7"/>
    <x v="2"/>
  </r>
  <r>
    <s v="TX501249"/>
    <x v="8"/>
    <x v="0"/>
    <n v="38.1"/>
    <n v="38.1"/>
    <x v="48"/>
    <d v="2025-02-18T00:00:00"/>
    <x v="1"/>
    <x v="4"/>
    <x v="1"/>
    <x v="0"/>
    <x v="3"/>
    <x v="7"/>
    <x v="7"/>
    <x v="1"/>
  </r>
  <r>
    <s v="TX501250"/>
    <x v="0"/>
    <x v="1"/>
    <n v="44.1"/>
    <n v="88.2"/>
    <x v="48"/>
    <d v="2025-02-20T00:00:00"/>
    <x v="2"/>
    <x v="2"/>
    <x v="0"/>
    <x v="0"/>
    <x v="3"/>
    <x v="1"/>
    <x v="7"/>
    <x v="2"/>
  </r>
  <r>
    <s v="TX501251"/>
    <x v="15"/>
    <x v="12"/>
    <n v="80.5"/>
    <n v="322"/>
    <x v="48"/>
    <d v="2025-02-23T00:00:00"/>
    <x v="1"/>
    <x v="0"/>
    <x v="0"/>
    <x v="0"/>
    <x v="3"/>
    <x v="0"/>
    <x v="7"/>
    <x v="1"/>
  </r>
  <r>
    <s v="TX501252"/>
    <x v="18"/>
    <x v="12"/>
    <n v="33.6"/>
    <n v="134.4"/>
    <x v="48"/>
    <d v="2025-02-23T00:00:00"/>
    <x v="0"/>
    <x v="0"/>
    <x v="2"/>
    <x v="0"/>
    <x v="3"/>
    <x v="0"/>
    <x v="7"/>
    <x v="0"/>
  </r>
  <r>
    <s v="TX501253"/>
    <x v="9"/>
    <x v="11"/>
    <n v="41.8"/>
    <n v="376.2"/>
    <x v="48"/>
    <d v="2025-02-19T00:00:00"/>
    <x v="2"/>
    <x v="0"/>
    <x v="1"/>
    <x v="0"/>
    <x v="3"/>
    <x v="3"/>
    <x v="7"/>
    <x v="2"/>
  </r>
  <r>
    <s v="TX501254"/>
    <x v="1"/>
    <x v="1"/>
    <n v="106.2"/>
    <n v="212.4"/>
    <x v="48"/>
    <d v="2025-02-18T00:00:00"/>
    <x v="2"/>
    <x v="4"/>
    <x v="2"/>
    <x v="0"/>
    <x v="3"/>
    <x v="7"/>
    <x v="7"/>
    <x v="2"/>
  </r>
  <r>
    <s v="TX501255"/>
    <x v="1"/>
    <x v="1"/>
    <n v="52.6"/>
    <n v="105.2"/>
    <x v="48"/>
    <d v="2025-02-19T00:00:00"/>
    <x v="2"/>
    <x v="0"/>
    <x v="2"/>
    <x v="0"/>
    <x v="5"/>
    <x v="3"/>
    <x v="7"/>
    <x v="2"/>
  </r>
  <r>
    <s v="TX501256"/>
    <x v="11"/>
    <x v="3"/>
    <n v="68.5"/>
    <n v="479.5"/>
    <x v="48"/>
    <d v="2025-02-19T00:00:00"/>
    <x v="2"/>
    <x v="1"/>
    <x v="0"/>
    <x v="0"/>
    <x v="5"/>
    <x v="3"/>
    <x v="7"/>
    <x v="2"/>
  </r>
  <r>
    <s v="TX501257"/>
    <x v="1"/>
    <x v="1"/>
    <n v="55.6"/>
    <n v="111.2"/>
    <x v="48"/>
    <d v="2025-02-20T00:00:00"/>
    <x v="1"/>
    <x v="1"/>
    <x v="2"/>
    <x v="0"/>
    <x v="6"/>
    <x v="1"/>
    <x v="7"/>
    <x v="1"/>
  </r>
  <r>
    <s v="TX501258"/>
    <x v="2"/>
    <x v="2"/>
    <n v="134.9"/>
    <n v="404.70000000000005"/>
    <x v="48"/>
    <d v="2025-02-19T00:00:00"/>
    <x v="1"/>
    <x v="1"/>
    <x v="1"/>
    <x v="0"/>
    <x v="6"/>
    <x v="3"/>
    <x v="7"/>
    <x v="1"/>
  </r>
  <r>
    <s v="TX501259"/>
    <x v="10"/>
    <x v="9"/>
    <n v="42.6"/>
    <n v="213"/>
    <x v="48"/>
    <d v="2025-02-19T00:00:00"/>
    <x v="1"/>
    <x v="0"/>
    <x v="0"/>
    <x v="0"/>
    <x v="6"/>
    <x v="3"/>
    <x v="7"/>
    <x v="1"/>
  </r>
  <r>
    <s v="TX501260"/>
    <x v="7"/>
    <x v="9"/>
    <n v="60.6"/>
    <n v="303"/>
    <x v="48"/>
    <d v="2025-02-20T00:00:00"/>
    <x v="1"/>
    <x v="4"/>
    <x v="0"/>
    <x v="0"/>
    <x v="6"/>
    <x v="1"/>
    <x v="7"/>
    <x v="1"/>
  </r>
  <r>
    <s v="TX501261"/>
    <x v="8"/>
    <x v="1"/>
    <n v="43.5"/>
    <n v="87"/>
    <x v="48"/>
    <d v="2025-02-19T00:00:00"/>
    <x v="1"/>
    <x v="4"/>
    <x v="0"/>
    <x v="0"/>
    <x v="7"/>
    <x v="3"/>
    <x v="7"/>
    <x v="1"/>
  </r>
  <r>
    <s v="TX501262"/>
    <x v="2"/>
    <x v="1"/>
    <n v="187.1"/>
    <n v="374.2"/>
    <x v="48"/>
    <d v="2025-02-19T00:00:00"/>
    <x v="1"/>
    <x v="1"/>
    <x v="2"/>
    <x v="0"/>
    <x v="8"/>
    <x v="3"/>
    <x v="7"/>
    <x v="1"/>
  </r>
  <r>
    <s v="TX501263"/>
    <x v="9"/>
    <x v="2"/>
    <n v="32"/>
    <n v="96"/>
    <x v="48"/>
    <d v="2025-02-20T00:00:00"/>
    <x v="1"/>
    <x v="0"/>
    <x v="0"/>
    <x v="0"/>
    <x v="8"/>
    <x v="1"/>
    <x v="7"/>
    <x v="1"/>
  </r>
  <r>
    <s v="TX501264"/>
    <x v="9"/>
    <x v="1"/>
    <n v="110.8"/>
    <n v="221.6"/>
    <x v="48"/>
    <d v="2025-02-18T00:00:00"/>
    <x v="1"/>
    <x v="0"/>
    <x v="2"/>
    <x v="0"/>
    <x v="8"/>
    <x v="7"/>
    <x v="7"/>
    <x v="1"/>
  </r>
  <r>
    <s v="TX501265"/>
    <x v="10"/>
    <x v="15"/>
    <n v="36.1"/>
    <n v="469.3"/>
    <x v="48"/>
    <d v="2025-02-21T00:00:00"/>
    <x v="2"/>
    <x v="0"/>
    <x v="1"/>
    <x v="0"/>
    <x v="8"/>
    <x v="2"/>
    <x v="7"/>
    <x v="2"/>
  </r>
  <r>
    <s v="TX501266"/>
    <x v="0"/>
    <x v="0"/>
    <n v="24.1"/>
    <n v="24.1"/>
    <x v="48"/>
    <d v="2025-02-20T00:00:00"/>
    <x v="2"/>
    <x v="4"/>
    <x v="2"/>
    <x v="0"/>
    <x v="8"/>
    <x v="1"/>
    <x v="7"/>
    <x v="2"/>
  </r>
  <r>
    <s v="TX501267"/>
    <x v="19"/>
    <x v="2"/>
    <n v="30.5"/>
    <n v="91.5"/>
    <x v="48"/>
    <d v="2025-02-20T00:00:00"/>
    <x v="1"/>
    <x v="1"/>
    <x v="0"/>
    <x v="0"/>
    <x v="8"/>
    <x v="1"/>
    <x v="7"/>
    <x v="1"/>
  </r>
  <r>
    <s v="TX501268"/>
    <x v="18"/>
    <x v="13"/>
    <n v="68.3"/>
    <n v="409.79999999999995"/>
    <x v="48"/>
    <d v="2025-02-21T00:00:00"/>
    <x v="1"/>
    <x v="0"/>
    <x v="0"/>
    <x v="0"/>
    <x v="8"/>
    <x v="2"/>
    <x v="7"/>
    <x v="1"/>
  </r>
  <r>
    <s v="TX501269"/>
    <x v="7"/>
    <x v="2"/>
    <n v="43.3"/>
    <n v="129.89999999999998"/>
    <x v="48"/>
    <d v="2025-02-22T00:00:00"/>
    <x v="2"/>
    <x v="0"/>
    <x v="0"/>
    <x v="0"/>
    <x v="17"/>
    <x v="5"/>
    <x v="7"/>
    <x v="2"/>
  </r>
  <r>
    <s v="TX501270"/>
    <x v="3"/>
    <x v="0"/>
    <n v="101.7"/>
    <n v="101.7"/>
    <x v="48"/>
    <d v="2025-02-21T00:00:00"/>
    <x v="2"/>
    <x v="0"/>
    <x v="1"/>
    <x v="0"/>
    <x v="17"/>
    <x v="2"/>
    <x v="7"/>
    <x v="2"/>
  </r>
  <r>
    <s v="TX501271"/>
    <x v="11"/>
    <x v="1"/>
    <n v="54.2"/>
    <n v="108.4"/>
    <x v="48"/>
    <d v="2025-02-19T00:00:00"/>
    <x v="2"/>
    <x v="0"/>
    <x v="1"/>
    <x v="0"/>
    <x v="17"/>
    <x v="3"/>
    <x v="7"/>
    <x v="2"/>
  </r>
  <r>
    <s v="TX501272"/>
    <x v="16"/>
    <x v="1"/>
    <n v="51"/>
    <n v="102"/>
    <x v="48"/>
    <d v="2025-02-18T00:00:00"/>
    <x v="1"/>
    <x v="1"/>
    <x v="0"/>
    <x v="0"/>
    <x v="26"/>
    <x v="7"/>
    <x v="7"/>
    <x v="1"/>
  </r>
  <r>
    <s v="TX501273"/>
    <x v="4"/>
    <x v="1"/>
    <n v="23.1"/>
    <n v="46.2"/>
    <x v="48"/>
    <d v="2025-02-21T00:00:00"/>
    <x v="1"/>
    <x v="1"/>
    <x v="0"/>
    <x v="0"/>
    <x v="10"/>
    <x v="2"/>
    <x v="7"/>
    <x v="1"/>
  </r>
  <r>
    <s v="TX501274"/>
    <x v="12"/>
    <x v="13"/>
    <n v="60.1"/>
    <n v="360.6"/>
    <x v="48"/>
    <d v="2025-02-18T00:00:00"/>
    <x v="2"/>
    <x v="3"/>
    <x v="0"/>
    <x v="0"/>
    <x v="11"/>
    <x v="7"/>
    <x v="7"/>
    <x v="2"/>
  </r>
  <r>
    <s v="TX501275"/>
    <x v="2"/>
    <x v="3"/>
    <n v="87.5"/>
    <n v="612.5"/>
    <x v="48"/>
    <d v="2025-02-20T00:00:00"/>
    <x v="2"/>
    <x v="0"/>
    <x v="1"/>
    <x v="0"/>
    <x v="11"/>
    <x v="1"/>
    <x v="7"/>
    <x v="2"/>
  </r>
  <r>
    <s v="TX501276"/>
    <x v="1"/>
    <x v="2"/>
    <n v="51"/>
    <n v="153"/>
    <x v="48"/>
    <d v="2025-02-19T00:00:00"/>
    <x v="2"/>
    <x v="1"/>
    <x v="0"/>
    <x v="0"/>
    <x v="11"/>
    <x v="3"/>
    <x v="7"/>
    <x v="2"/>
  </r>
  <r>
    <s v="TX501277"/>
    <x v="8"/>
    <x v="12"/>
    <n v="19.2"/>
    <n v="76.8"/>
    <x v="48"/>
    <d v="2025-02-20T00:00:00"/>
    <x v="2"/>
    <x v="0"/>
    <x v="0"/>
    <x v="0"/>
    <x v="11"/>
    <x v="1"/>
    <x v="7"/>
    <x v="2"/>
  </r>
  <r>
    <s v="TX501278"/>
    <x v="5"/>
    <x v="8"/>
    <n v="26.5"/>
    <n v="212"/>
    <x v="48"/>
    <d v="2025-02-19T00:00:00"/>
    <x v="0"/>
    <x v="3"/>
    <x v="2"/>
    <x v="0"/>
    <x v="11"/>
    <x v="3"/>
    <x v="7"/>
    <x v="0"/>
  </r>
  <r>
    <s v="TX501279"/>
    <x v="2"/>
    <x v="1"/>
    <n v="220.3"/>
    <n v="440.6"/>
    <x v="48"/>
    <d v="2025-02-19T00:00:00"/>
    <x v="2"/>
    <x v="1"/>
    <x v="4"/>
    <x v="0"/>
    <x v="53"/>
    <x v="3"/>
    <x v="7"/>
    <x v="2"/>
  </r>
  <r>
    <s v="TX501280"/>
    <x v="8"/>
    <x v="2"/>
    <n v="45.7"/>
    <n v="137.10000000000002"/>
    <x v="48"/>
    <d v="2025-02-19T00:00:00"/>
    <x v="2"/>
    <x v="4"/>
    <x v="0"/>
    <x v="0"/>
    <x v="30"/>
    <x v="3"/>
    <x v="7"/>
    <x v="2"/>
  </r>
  <r>
    <s v="TX501281"/>
    <x v="5"/>
    <x v="9"/>
    <n v="47.1"/>
    <n v="235.5"/>
    <x v="48"/>
    <d v="2025-02-22T00:00:00"/>
    <x v="2"/>
    <x v="3"/>
    <x v="0"/>
    <x v="0"/>
    <x v="13"/>
    <x v="5"/>
    <x v="7"/>
    <x v="2"/>
  </r>
  <r>
    <s v="TX501282"/>
    <x v="1"/>
    <x v="9"/>
    <n v="81.7"/>
    <n v="408.5"/>
    <x v="48"/>
    <d v="2025-02-19T00:00:00"/>
    <x v="2"/>
    <x v="0"/>
    <x v="2"/>
    <x v="0"/>
    <x v="21"/>
    <x v="3"/>
    <x v="7"/>
    <x v="2"/>
  </r>
  <r>
    <s v="TX501283"/>
    <x v="6"/>
    <x v="7"/>
    <n v="97.8"/>
    <n v="978"/>
    <x v="48"/>
    <d v="2025-02-18T00:00:00"/>
    <x v="1"/>
    <x v="1"/>
    <x v="1"/>
    <x v="0"/>
    <x v="21"/>
    <x v="7"/>
    <x v="7"/>
    <x v="1"/>
  </r>
  <r>
    <s v="TX501284"/>
    <x v="6"/>
    <x v="2"/>
    <n v="42.4"/>
    <n v="127.19999999999999"/>
    <x v="48"/>
    <d v="2025-02-19T00:00:00"/>
    <x v="2"/>
    <x v="0"/>
    <x v="2"/>
    <x v="0"/>
    <x v="54"/>
    <x v="3"/>
    <x v="7"/>
    <x v="2"/>
  </r>
  <r>
    <s v="TX501285"/>
    <x v="2"/>
    <x v="7"/>
    <n v="74.5"/>
    <n v="745"/>
    <x v="48"/>
    <d v="2025-02-19T00:00:00"/>
    <x v="1"/>
    <x v="2"/>
    <x v="1"/>
    <x v="0"/>
    <x v="1"/>
    <x v="3"/>
    <x v="7"/>
    <x v="1"/>
  </r>
  <r>
    <s v="TX501286"/>
    <x v="17"/>
    <x v="13"/>
    <n v="47.4"/>
    <n v="284.39999999999998"/>
    <x v="48"/>
    <d v="2025-02-19T00:00:00"/>
    <x v="1"/>
    <x v="1"/>
    <x v="0"/>
    <x v="0"/>
    <x v="1"/>
    <x v="3"/>
    <x v="7"/>
    <x v="1"/>
  </r>
  <r>
    <s v="TX501287"/>
    <x v="14"/>
    <x v="2"/>
    <n v="17.3"/>
    <n v="51.900000000000006"/>
    <x v="49"/>
    <d v="2025-02-22T00:00:00"/>
    <x v="1"/>
    <x v="2"/>
    <x v="2"/>
    <x v="0"/>
    <x v="1"/>
    <x v="2"/>
    <x v="7"/>
    <x v="1"/>
  </r>
  <r>
    <s v="TX501288"/>
    <x v="12"/>
    <x v="12"/>
    <n v="77.900000000000006"/>
    <n v="311.60000000000002"/>
    <x v="49"/>
    <d v="2025-02-20T00:00:00"/>
    <x v="1"/>
    <x v="1"/>
    <x v="0"/>
    <x v="0"/>
    <x v="2"/>
    <x v="3"/>
    <x v="7"/>
    <x v="1"/>
  </r>
  <r>
    <s v="TX501289"/>
    <x v="8"/>
    <x v="0"/>
    <n v="29.1"/>
    <n v="29.1"/>
    <x v="49"/>
    <d v="2025-02-22T00:00:00"/>
    <x v="1"/>
    <x v="0"/>
    <x v="2"/>
    <x v="0"/>
    <x v="50"/>
    <x v="2"/>
    <x v="7"/>
    <x v="1"/>
  </r>
  <r>
    <s v="TX501290"/>
    <x v="8"/>
    <x v="0"/>
    <n v="49"/>
    <n v="49"/>
    <x v="49"/>
    <d v="2025-02-20T00:00:00"/>
    <x v="1"/>
    <x v="1"/>
    <x v="0"/>
    <x v="0"/>
    <x v="3"/>
    <x v="3"/>
    <x v="7"/>
    <x v="1"/>
  </r>
  <r>
    <s v="TX501291"/>
    <x v="8"/>
    <x v="13"/>
    <n v="21.1"/>
    <n v="126.60000000000001"/>
    <x v="49"/>
    <d v="2025-02-26T00:00:00"/>
    <x v="1"/>
    <x v="0"/>
    <x v="2"/>
    <x v="0"/>
    <x v="3"/>
    <x v="6"/>
    <x v="7"/>
    <x v="1"/>
  </r>
  <r>
    <s v="TX501292"/>
    <x v="4"/>
    <x v="10"/>
    <n v="36.9"/>
    <n v="701.1"/>
    <x v="49"/>
    <d v="2025-02-19T00:00:00"/>
    <x v="2"/>
    <x v="0"/>
    <x v="0"/>
    <x v="0"/>
    <x v="3"/>
    <x v="7"/>
    <x v="7"/>
    <x v="2"/>
  </r>
  <r>
    <s v="TX501293"/>
    <x v="1"/>
    <x v="7"/>
    <n v="92.6"/>
    <n v="926"/>
    <x v="49"/>
    <d v="2025-02-24T00:00:00"/>
    <x v="1"/>
    <x v="4"/>
    <x v="2"/>
    <x v="0"/>
    <x v="3"/>
    <x v="0"/>
    <x v="7"/>
    <x v="1"/>
  </r>
  <r>
    <s v="TX501294"/>
    <x v="10"/>
    <x v="1"/>
    <n v="38"/>
    <n v="76"/>
    <x v="49"/>
    <d v="2025-02-20T00:00:00"/>
    <x v="1"/>
    <x v="1"/>
    <x v="1"/>
    <x v="0"/>
    <x v="3"/>
    <x v="3"/>
    <x v="7"/>
    <x v="1"/>
  </r>
  <r>
    <s v="TX501295"/>
    <x v="5"/>
    <x v="2"/>
    <n v="54.8"/>
    <n v="164.39999999999998"/>
    <x v="49"/>
    <d v="2025-02-23T00:00:00"/>
    <x v="0"/>
    <x v="0"/>
    <x v="1"/>
    <x v="0"/>
    <x v="3"/>
    <x v="5"/>
    <x v="7"/>
    <x v="0"/>
  </r>
  <r>
    <s v="TX501296"/>
    <x v="10"/>
    <x v="4"/>
    <n v="56.8"/>
    <n v="681.59999999999991"/>
    <x v="49"/>
    <d v="2025-02-21T00:00:00"/>
    <x v="1"/>
    <x v="1"/>
    <x v="0"/>
    <x v="0"/>
    <x v="3"/>
    <x v="1"/>
    <x v="7"/>
    <x v="1"/>
  </r>
  <r>
    <s v="TX501297"/>
    <x v="11"/>
    <x v="40"/>
    <n v="47.2"/>
    <n v="1557.6000000000001"/>
    <x v="49"/>
    <d v="2025-02-22T00:00:00"/>
    <x v="2"/>
    <x v="1"/>
    <x v="0"/>
    <x v="0"/>
    <x v="3"/>
    <x v="2"/>
    <x v="7"/>
    <x v="2"/>
  </r>
  <r>
    <s v="TX501298"/>
    <x v="7"/>
    <x v="13"/>
    <n v="45.1"/>
    <n v="270.60000000000002"/>
    <x v="49"/>
    <d v="2025-02-20T00:00:00"/>
    <x v="2"/>
    <x v="2"/>
    <x v="0"/>
    <x v="0"/>
    <x v="43"/>
    <x v="3"/>
    <x v="7"/>
    <x v="2"/>
  </r>
  <r>
    <s v="TX501299"/>
    <x v="4"/>
    <x v="4"/>
    <n v="25.2"/>
    <n v="302.39999999999998"/>
    <x v="49"/>
    <d v="2025-02-24T00:00:00"/>
    <x v="2"/>
    <x v="2"/>
    <x v="0"/>
    <x v="0"/>
    <x v="16"/>
    <x v="0"/>
    <x v="7"/>
    <x v="2"/>
  </r>
  <r>
    <s v="TX501300"/>
    <x v="8"/>
    <x v="0"/>
    <n v="22"/>
    <n v="22"/>
    <x v="49"/>
    <d v="2025-02-20T00:00:00"/>
    <x v="2"/>
    <x v="0"/>
    <x v="0"/>
    <x v="0"/>
    <x v="5"/>
    <x v="3"/>
    <x v="7"/>
    <x v="2"/>
  </r>
  <r>
    <s v="TX501301"/>
    <x v="6"/>
    <x v="1"/>
    <n v="42.2"/>
    <n v="84.4"/>
    <x v="49"/>
    <d v="2025-02-20T00:00:00"/>
    <x v="2"/>
    <x v="1"/>
    <x v="1"/>
    <x v="0"/>
    <x v="23"/>
    <x v="3"/>
    <x v="7"/>
    <x v="2"/>
  </r>
  <r>
    <s v="TX501302"/>
    <x v="13"/>
    <x v="2"/>
    <n v="20.5"/>
    <n v="61.5"/>
    <x v="49"/>
    <d v="2025-02-20T00:00:00"/>
    <x v="1"/>
    <x v="0"/>
    <x v="1"/>
    <x v="0"/>
    <x v="6"/>
    <x v="3"/>
    <x v="7"/>
    <x v="1"/>
  </r>
  <r>
    <s v="TX501303"/>
    <x v="2"/>
    <x v="0"/>
    <n v="190.4"/>
    <n v="190.4"/>
    <x v="49"/>
    <d v="2025-02-24T00:00:00"/>
    <x v="1"/>
    <x v="1"/>
    <x v="4"/>
    <x v="0"/>
    <x v="6"/>
    <x v="0"/>
    <x v="7"/>
    <x v="1"/>
  </r>
  <r>
    <s v="TX501304"/>
    <x v="2"/>
    <x v="0"/>
    <n v="121.9"/>
    <n v="121.9"/>
    <x v="49"/>
    <d v="2025-02-21T00:00:00"/>
    <x v="2"/>
    <x v="1"/>
    <x v="2"/>
    <x v="0"/>
    <x v="6"/>
    <x v="1"/>
    <x v="7"/>
    <x v="2"/>
  </r>
  <r>
    <s v="TX501305"/>
    <x v="2"/>
    <x v="13"/>
    <n v="149.19999999999999"/>
    <n v="895.19999999999993"/>
    <x v="49"/>
    <d v="2025-02-20T00:00:00"/>
    <x v="2"/>
    <x v="2"/>
    <x v="2"/>
    <x v="0"/>
    <x v="7"/>
    <x v="3"/>
    <x v="7"/>
    <x v="2"/>
  </r>
  <r>
    <s v="TX501306"/>
    <x v="2"/>
    <x v="0"/>
    <n v="54.1"/>
    <n v="54.1"/>
    <x v="49"/>
    <d v="2025-02-28T00:00:00"/>
    <x v="2"/>
    <x v="2"/>
    <x v="2"/>
    <x v="0"/>
    <x v="7"/>
    <x v="8"/>
    <x v="7"/>
    <x v="2"/>
  </r>
  <r>
    <s v="TX501307"/>
    <x v="5"/>
    <x v="1"/>
    <n v="27.4"/>
    <n v="54.8"/>
    <x v="49"/>
    <d v="2025-02-21T00:00:00"/>
    <x v="1"/>
    <x v="1"/>
    <x v="0"/>
    <x v="0"/>
    <x v="8"/>
    <x v="1"/>
    <x v="7"/>
    <x v="1"/>
  </r>
  <r>
    <s v="TX501308"/>
    <x v="0"/>
    <x v="15"/>
    <n v="30.4"/>
    <n v="395.2"/>
    <x v="49"/>
    <d v="2025-02-20T00:00:00"/>
    <x v="2"/>
    <x v="0"/>
    <x v="2"/>
    <x v="0"/>
    <x v="8"/>
    <x v="3"/>
    <x v="7"/>
    <x v="2"/>
  </r>
  <r>
    <s v="TX501309"/>
    <x v="12"/>
    <x v="2"/>
    <n v="46.2"/>
    <n v="138.60000000000002"/>
    <x v="49"/>
    <d v="2025-02-21T00:00:00"/>
    <x v="1"/>
    <x v="2"/>
    <x v="1"/>
    <x v="0"/>
    <x v="17"/>
    <x v="1"/>
    <x v="7"/>
    <x v="1"/>
  </r>
  <r>
    <s v="TX501310"/>
    <x v="7"/>
    <x v="8"/>
    <n v="78.599999999999994"/>
    <n v="628.79999999999995"/>
    <x v="49"/>
    <d v="2025-02-23T00:00:00"/>
    <x v="1"/>
    <x v="3"/>
    <x v="0"/>
    <x v="0"/>
    <x v="17"/>
    <x v="5"/>
    <x v="7"/>
    <x v="1"/>
  </r>
  <r>
    <s v="TX501311"/>
    <x v="17"/>
    <x v="7"/>
    <n v="25.9"/>
    <n v="259"/>
    <x v="49"/>
    <d v="2025-02-25T00:00:00"/>
    <x v="1"/>
    <x v="4"/>
    <x v="0"/>
    <x v="0"/>
    <x v="9"/>
    <x v="4"/>
    <x v="7"/>
    <x v="1"/>
  </r>
  <r>
    <s v="TX501312"/>
    <x v="6"/>
    <x v="0"/>
    <n v="134.80000000000001"/>
    <n v="134.80000000000001"/>
    <x v="49"/>
    <d v="2025-02-21T00:00:00"/>
    <x v="1"/>
    <x v="2"/>
    <x v="2"/>
    <x v="0"/>
    <x v="9"/>
    <x v="1"/>
    <x v="7"/>
    <x v="1"/>
  </r>
  <r>
    <s v="TX501313"/>
    <x v="15"/>
    <x v="9"/>
    <n v="43.1"/>
    <n v="215.5"/>
    <x v="49"/>
    <d v="2025-02-21T00:00:00"/>
    <x v="2"/>
    <x v="0"/>
    <x v="0"/>
    <x v="0"/>
    <x v="11"/>
    <x v="1"/>
    <x v="7"/>
    <x v="2"/>
  </r>
  <r>
    <s v="TX501314"/>
    <x v="2"/>
    <x v="1"/>
    <n v="215.6"/>
    <n v="431.2"/>
    <x v="49"/>
    <d v="2025-02-20T00:00:00"/>
    <x v="2"/>
    <x v="2"/>
    <x v="0"/>
    <x v="0"/>
    <x v="18"/>
    <x v="3"/>
    <x v="7"/>
    <x v="2"/>
  </r>
  <r>
    <s v="TX501315"/>
    <x v="6"/>
    <x v="1"/>
    <n v="80.7"/>
    <n v="161.4"/>
    <x v="49"/>
    <d v="2025-02-22T00:00:00"/>
    <x v="2"/>
    <x v="3"/>
    <x v="0"/>
    <x v="0"/>
    <x v="18"/>
    <x v="2"/>
    <x v="7"/>
    <x v="2"/>
  </r>
  <r>
    <s v="TX501316"/>
    <x v="10"/>
    <x v="3"/>
    <n v="20.6"/>
    <n v="144.20000000000002"/>
    <x v="49"/>
    <d v="2025-02-24T00:00:00"/>
    <x v="0"/>
    <x v="2"/>
    <x v="1"/>
    <x v="0"/>
    <x v="19"/>
    <x v="0"/>
    <x v="7"/>
    <x v="0"/>
  </r>
  <r>
    <s v="TX501317"/>
    <x v="12"/>
    <x v="2"/>
    <n v="37.1"/>
    <n v="111.30000000000001"/>
    <x v="49"/>
    <d v="2025-02-20T00:00:00"/>
    <x v="2"/>
    <x v="0"/>
    <x v="0"/>
    <x v="0"/>
    <x v="52"/>
    <x v="3"/>
    <x v="7"/>
    <x v="2"/>
  </r>
  <r>
    <s v="TX501318"/>
    <x v="12"/>
    <x v="0"/>
    <n v="104.8"/>
    <n v="104.8"/>
    <x v="50"/>
    <d v="2025-02-22T00:00:00"/>
    <x v="2"/>
    <x v="0"/>
    <x v="0"/>
    <x v="0"/>
    <x v="13"/>
    <x v="1"/>
    <x v="7"/>
    <x v="2"/>
  </r>
  <r>
    <s v="TX501319"/>
    <x v="8"/>
    <x v="1"/>
    <n v="59"/>
    <n v="118"/>
    <x v="50"/>
    <d v="2025-02-21T00:00:00"/>
    <x v="1"/>
    <x v="1"/>
    <x v="0"/>
    <x v="0"/>
    <x v="21"/>
    <x v="3"/>
    <x v="7"/>
    <x v="1"/>
  </r>
  <r>
    <s v="TX501320"/>
    <x v="8"/>
    <x v="1"/>
    <n v="32.299999999999997"/>
    <n v="64.599999999999994"/>
    <x v="50"/>
    <d v="2025-02-21T00:00:00"/>
    <x v="1"/>
    <x v="0"/>
    <x v="2"/>
    <x v="0"/>
    <x v="21"/>
    <x v="3"/>
    <x v="7"/>
    <x v="1"/>
  </r>
  <r>
    <s v="TX501321"/>
    <x v="8"/>
    <x v="12"/>
    <n v="28.9"/>
    <n v="115.6"/>
    <x v="50"/>
    <d v="2025-02-27T00:00:00"/>
    <x v="1"/>
    <x v="0"/>
    <x v="0"/>
    <x v="0"/>
    <x v="1"/>
    <x v="6"/>
    <x v="7"/>
    <x v="1"/>
  </r>
  <r>
    <s v="TX501322"/>
    <x v="0"/>
    <x v="1"/>
    <n v="29.6"/>
    <n v="59.2"/>
    <x v="50"/>
    <d v="2025-02-22T00:00:00"/>
    <x v="1"/>
    <x v="0"/>
    <x v="0"/>
    <x v="0"/>
    <x v="1"/>
    <x v="1"/>
    <x v="7"/>
    <x v="1"/>
  </r>
  <r>
    <s v="TX501323"/>
    <x v="0"/>
    <x v="9"/>
    <n v="29.4"/>
    <n v="147"/>
    <x v="50"/>
    <d v="2025-02-23T00:00:00"/>
    <x v="2"/>
    <x v="0"/>
    <x v="0"/>
    <x v="0"/>
    <x v="1"/>
    <x v="2"/>
    <x v="7"/>
    <x v="2"/>
  </r>
  <r>
    <s v="TX501324"/>
    <x v="1"/>
    <x v="1"/>
    <n v="40.6"/>
    <n v="81.2"/>
    <x v="50"/>
    <d v="2025-02-21T00:00:00"/>
    <x v="1"/>
    <x v="0"/>
    <x v="4"/>
    <x v="0"/>
    <x v="2"/>
    <x v="3"/>
    <x v="7"/>
    <x v="1"/>
  </r>
  <r>
    <s v="TX501325"/>
    <x v="0"/>
    <x v="2"/>
    <n v="32.5"/>
    <n v="97.5"/>
    <x v="50"/>
    <d v="2025-02-21T00:00:00"/>
    <x v="1"/>
    <x v="3"/>
    <x v="2"/>
    <x v="0"/>
    <x v="22"/>
    <x v="3"/>
    <x v="7"/>
    <x v="1"/>
  </r>
  <r>
    <s v="TX501326"/>
    <x v="15"/>
    <x v="0"/>
    <n v="26.2"/>
    <n v="26.2"/>
    <x v="50"/>
    <d v="2025-02-22T00:00:00"/>
    <x v="1"/>
    <x v="2"/>
    <x v="0"/>
    <x v="0"/>
    <x v="55"/>
    <x v="1"/>
    <x v="7"/>
    <x v="1"/>
  </r>
  <r>
    <s v="TX501327"/>
    <x v="10"/>
    <x v="17"/>
    <n v="44"/>
    <n v="1320"/>
    <x v="50"/>
    <d v="2025-02-26T00:00:00"/>
    <x v="1"/>
    <x v="4"/>
    <x v="0"/>
    <x v="0"/>
    <x v="3"/>
    <x v="4"/>
    <x v="7"/>
    <x v="1"/>
  </r>
  <r>
    <s v="TX501328"/>
    <x v="7"/>
    <x v="12"/>
    <n v="65.599999999999994"/>
    <n v="262.39999999999998"/>
    <x v="50"/>
    <d v="2025-02-21T00:00:00"/>
    <x v="2"/>
    <x v="1"/>
    <x v="1"/>
    <x v="0"/>
    <x v="3"/>
    <x v="3"/>
    <x v="7"/>
    <x v="2"/>
  </r>
  <r>
    <s v="TX501329"/>
    <x v="5"/>
    <x v="4"/>
    <n v="32.6"/>
    <n v="391.20000000000005"/>
    <x v="50"/>
    <d v="2025-02-21T00:00:00"/>
    <x v="1"/>
    <x v="4"/>
    <x v="0"/>
    <x v="0"/>
    <x v="3"/>
    <x v="3"/>
    <x v="7"/>
    <x v="1"/>
  </r>
  <r>
    <s v="TX501330"/>
    <x v="16"/>
    <x v="1"/>
    <n v="88.7"/>
    <n v="177.4"/>
    <x v="50"/>
    <d v="2025-02-21T00:00:00"/>
    <x v="0"/>
    <x v="3"/>
    <x v="2"/>
    <x v="0"/>
    <x v="3"/>
    <x v="3"/>
    <x v="7"/>
    <x v="0"/>
  </r>
  <r>
    <s v="TX501331"/>
    <x v="4"/>
    <x v="1"/>
    <n v="21.3"/>
    <n v="42.6"/>
    <x v="50"/>
    <d v="2025-02-21T00:00:00"/>
    <x v="1"/>
    <x v="0"/>
    <x v="0"/>
    <x v="0"/>
    <x v="3"/>
    <x v="3"/>
    <x v="7"/>
    <x v="1"/>
  </r>
  <r>
    <s v="TX501332"/>
    <x v="4"/>
    <x v="13"/>
    <n v="50.6"/>
    <n v="303.60000000000002"/>
    <x v="50"/>
    <d v="2025-02-24T00:00:00"/>
    <x v="2"/>
    <x v="2"/>
    <x v="0"/>
    <x v="0"/>
    <x v="3"/>
    <x v="5"/>
    <x v="7"/>
    <x v="2"/>
  </r>
  <r>
    <s v="TX501333"/>
    <x v="9"/>
    <x v="38"/>
    <n v="86.9"/>
    <n v="1824.9"/>
    <x v="50"/>
    <d v="2025-02-23T00:00:00"/>
    <x v="2"/>
    <x v="0"/>
    <x v="1"/>
    <x v="0"/>
    <x v="3"/>
    <x v="2"/>
    <x v="7"/>
    <x v="2"/>
  </r>
  <r>
    <s v="TX501334"/>
    <x v="11"/>
    <x v="2"/>
    <n v="31.8"/>
    <n v="95.4"/>
    <x v="50"/>
    <d v="2025-02-22T00:00:00"/>
    <x v="1"/>
    <x v="0"/>
    <x v="2"/>
    <x v="0"/>
    <x v="3"/>
    <x v="1"/>
    <x v="7"/>
    <x v="1"/>
  </r>
  <r>
    <s v="TX501335"/>
    <x v="8"/>
    <x v="0"/>
    <n v="19"/>
    <n v="19"/>
    <x v="50"/>
    <d v="2025-02-21T00:00:00"/>
    <x v="2"/>
    <x v="0"/>
    <x v="2"/>
    <x v="0"/>
    <x v="3"/>
    <x v="3"/>
    <x v="7"/>
    <x v="2"/>
  </r>
  <r>
    <s v="TX501336"/>
    <x v="5"/>
    <x v="0"/>
    <n v="54.5"/>
    <n v="54.5"/>
    <x v="50"/>
    <d v="2025-02-22T00:00:00"/>
    <x v="1"/>
    <x v="0"/>
    <x v="0"/>
    <x v="0"/>
    <x v="3"/>
    <x v="1"/>
    <x v="7"/>
    <x v="1"/>
  </r>
  <r>
    <s v="TX501337"/>
    <x v="9"/>
    <x v="9"/>
    <n v="68.900000000000006"/>
    <n v="344.5"/>
    <x v="50"/>
    <d v="2025-02-22T00:00:00"/>
    <x v="1"/>
    <x v="4"/>
    <x v="1"/>
    <x v="0"/>
    <x v="3"/>
    <x v="1"/>
    <x v="7"/>
    <x v="1"/>
  </r>
  <r>
    <s v="TX501338"/>
    <x v="6"/>
    <x v="2"/>
    <n v="84"/>
    <n v="252"/>
    <x v="50"/>
    <d v="2025-02-21T00:00:00"/>
    <x v="1"/>
    <x v="1"/>
    <x v="4"/>
    <x v="0"/>
    <x v="16"/>
    <x v="3"/>
    <x v="7"/>
    <x v="1"/>
  </r>
  <r>
    <s v="TX501339"/>
    <x v="15"/>
    <x v="8"/>
    <n v="23.1"/>
    <n v="184.8"/>
    <x v="50"/>
    <d v="2025-02-25T00:00:00"/>
    <x v="1"/>
    <x v="0"/>
    <x v="2"/>
    <x v="0"/>
    <x v="23"/>
    <x v="0"/>
    <x v="7"/>
    <x v="1"/>
  </r>
  <r>
    <s v="TX501340"/>
    <x v="7"/>
    <x v="1"/>
    <n v="62.4"/>
    <n v="124.8"/>
    <x v="50"/>
    <d v="2025-02-21T00:00:00"/>
    <x v="2"/>
    <x v="0"/>
    <x v="1"/>
    <x v="0"/>
    <x v="6"/>
    <x v="3"/>
    <x v="7"/>
    <x v="2"/>
  </r>
  <r>
    <s v="TX501341"/>
    <x v="6"/>
    <x v="4"/>
    <n v="40.700000000000003"/>
    <n v="488.40000000000003"/>
    <x v="50"/>
    <d v="2025-02-22T00:00:00"/>
    <x v="1"/>
    <x v="1"/>
    <x v="2"/>
    <x v="0"/>
    <x v="6"/>
    <x v="1"/>
    <x v="7"/>
    <x v="1"/>
  </r>
  <r>
    <s v="TX501342"/>
    <x v="6"/>
    <x v="0"/>
    <n v="49.6"/>
    <n v="49.6"/>
    <x v="50"/>
    <d v="2025-02-23T00:00:00"/>
    <x v="1"/>
    <x v="2"/>
    <x v="0"/>
    <x v="0"/>
    <x v="7"/>
    <x v="2"/>
    <x v="7"/>
    <x v="1"/>
  </r>
  <r>
    <s v="TX501343"/>
    <x v="7"/>
    <x v="41"/>
    <n v="66.599999999999994"/>
    <n v="2996.9999999999995"/>
    <x v="50"/>
    <d v="2025-02-23T00:00:00"/>
    <x v="1"/>
    <x v="2"/>
    <x v="0"/>
    <x v="0"/>
    <x v="8"/>
    <x v="2"/>
    <x v="7"/>
    <x v="1"/>
  </r>
  <r>
    <s v="TX501344"/>
    <x v="8"/>
    <x v="2"/>
    <n v="26.4"/>
    <n v="79.199999999999989"/>
    <x v="50"/>
    <d v="2025-02-21T00:00:00"/>
    <x v="2"/>
    <x v="1"/>
    <x v="1"/>
    <x v="0"/>
    <x v="8"/>
    <x v="3"/>
    <x v="7"/>
    <x v="2"/>
  </r>
  <r>
    <s v="TX501345"/>
    <x v="0"/>
    <x v="1"/>
    <n v="17.2"/>
    <n v="34.4"/>
    <x v="50"/>
    <d v="2025-02-23T00:00:00"/>
    <x v="1"/>
    <x v="2"/>
    <x v="1"/>
    <x v="0"/>
    <x v="8"/>
    <x v="2"/>
    <x v="7"/>
    <x v="1"/>
  </r>
  <r>
    <s v="TX501346"/>
    <x v="5"/>
    <x v="8"/>
    <n v="58.1"/>
    <n v="464.8"/>
    <x v="50"/>
    <d v="2025-02-23T00:00:00"/>
    <x v="2"/>
    <x v="4"/>
    <x v="0"/>
    <x v="0"/>
    <x v="8"/>
    <x v="2"/>
    <x v="7"/>
    <x v="2"/>
  </r>
  <r>
    <s v="TX501347"/>
    <x v="15"/>
    <x v="12"/>
    <n v="31.5"/>
    <n v="126"/>
    <x v="50"/>
    <d v="2025-02-23T00:00:00"/>
    <x v="2"/>
    <x v="4"/>
    <x v="4"/>
    <x v="0"/>
    <x v="8"/>
    <x v="2"/>
    <x v="7"/>
    <x v="2"/>
  </r>
  <r>
    <s v="TX501348"/>
    <x v="0"/>
    <x v="0"/>
    <n v="27.1"/>
    <n v="27.1"/>
    <x v="50"/>
    <d v="2025-02-22T00:00:00"/>
    <x v="2"/>
    <x v="0"/>
    <x v="1"/>
    <x v="0"/>
    <x v="17"/>
    <x v="1"/>
    <x v="7"/>
    <x v="2"/>
  </r>
  <r>
    <s v="TX501349"/>
    <x v="18"/>
    <x v="12"/>
    <n v="28.5"/>
    <n v="114"/>
    <x v="50"/>
    <d v="2025-02-22T00:00:00"/>
    <x v="1"/>
    <x v="1"/>
    <x v="2"/>
    <x v="0"/>
    <x v="9"/>
    <x v="1"/>
    <x v="7"/>
    <x v="1"/>
  </r>
  <r>
    <s v="TX501350"/>
    <x v="10"/>
    <x v="0"/>
    <n v="40.5"/>
    <n v="40.5"/>
    <x v="51"/>
    <d v="2025-02-23T00:00:00"/>
    <x v="3"/>
    <x v="2"/>
    <x v="0"/>
    <x v="0"/>
    <x v="9"/>
    <x v="1"/>
    <x v="7"/>
    <x v="3"/>
  </r>
  <r>
    <s v="TX501351"/>
    <x v="2"/>
    <x v="2"/>
    <n v="77.900000000000006"/>
    <n v="233.70000000000002"/>
    <x v="51"/>
    <d v="2025-02-25T00:00:00"/>
    <x v="2"/>
    <x v="1"/>
    <x v="2"/>
    <x v="0"/>
    <x v="19"/>
    <x v="5"/>
    <x v="7"/>
    <x v="2"/>
  </r>
  <r>
    <s v="TX501352"/>
    <x v="18"/>
    <x v="12"/>
    <n v="37.1"/>
    <n v="148.4"/>
    <x v="51"/>
    <d v="2025-02-23T00:00:00"/>
    <x v="1"/>
    <x v="4"/>
    <x v="2"/>
    <x v="0"/>
    <x v="19"/>
    <x v="1"/>
    <x v="7"/>
    <x v="1"/>
  </r>
  <r>
    <s v="TX501353"/>
    <x v="16"/>
    <x v="2"/>
    <n v="51.6"/>
    <n v="154.80000000000001"/>
    <x v="51"/>
    <d v="2025-03-01T00:00:00"/>
    <x v="2"/>
    <x v="0"/>
    <x v="4"/>
    <x v="0"/>
    <x v="19"/>
    <x v="9"/>
    <x v="7"/>
    <x v="2"/>
  </r>
  <r>
    <s v="TX501354"/>
    <x v="7"/>
    <x v="2"/>
    <n v="98"/>
    <n v="294"/>
    <x v="51"/>
    <d v="2025-02-22T00:00:00"/>
    <x v="1"/>
    <x v="1"/>
    <x v="1"/>
    <x v="0"/>
    <x v="19"/>
    <x v="3"/>
    <x v="7"/>
    <x v="1"/>
  </r>
  <r>
    <s v="TX501355"/>
    <x v="6"/>
    <x v="3"/>
    <n v="41.4"/>
    <n v="289.8"/>
    <x v="51"/>
    <d v="2025-02-22T00:00:00"/>
    <x v="1"/>
    <x v="1"/>
    <x v="0"/>
    <x v="0"/>
    <x v="20"/>
    <x v="3"/>
    <x v="7"/>
    <x v="1"/>
  </r>
  <r>
    <s v="TX501356"/>
    <x v="11"/>
    <x v="8"/>
    <n v="34"/>
    <n v="272"/>
    <x v="51"/>
    <d v="2025-02-26T00:00:00"/>
    <x v="2"/>
    <x v="0"/>
    <x v="2"/>
    <x v="0"/>
    <x v="52"/>
    <x v="0"/>
    <x v="7"/>
    <x v="2"/>
  </r>
  <r>
    <s v="TX501357"/>
    <x v="6"/>
    <x v="0"/>
    <n v="66.3"/>
    <n v="66.3"/>
    <x v="51"/>
    <d v="2025-02-22T00:00:00"/>
    <x v="2"/>
    <x v="1"/>
    <x v="0"/>
    <x v="0"/>
    <x v="13"/>
    <x v="3"/>
    <x v="7"/>
    <x v="2"/>
  </r>
  <r>
    <s v="TX501358"/>
    <x v="7"/>
    <x v="0"/>
    <n v="33.5"/>
    <n v="33.5"/>
    <x v="51"/>
    <d v="2025-02-25T00:00:00"/>
    <x v="1"/>
    <x v="2"/>
    <x v="0"/>
    <x v="0"/>
    <x v="13"/>
    <x v="5"/>
    <x v="7"/>
    <x v="1"/>
  </r>
  <r>
    <s v="TX501359"/>
    <x v="12"/>
    <x v="1"/>
    <n v="70.8"/>
    <n v="141.6"/>
    <x v="51"/>
    <d v="2025-02-22T00:00:00"/>
    <x v="0"/>
    <x v="0"/>
    <x v="0"/>
    <x v="0"/>
    <x v="28"/>
    <x v="3"/>
    <x v="7"/>
    <x v="0"/>
  </r>
  <r>
    <s v="TX501360"/>
    <x v="6"/>
    <x v="1"/>
    <n v="127.6"/>
    <n v="255.2"/>
    <x v="51"/>
    <d v="2025-02-22T00:00:00"/>
    <x v="1"/>
    <x v="0"/>
    <x v="0"/>
    <x v="0"/>
    <x v="21"/>
    <x v="3"/>
    <x v="7"/>
    <x v="1"/>
  </r>
  <r>
    <s v="TX501361"/>
    <x v="6"/>
    <x v="2"/>
    <n v="95.9"/>
    <n v="287.70000000000005"/>
    <x v="51"/>
    <d v="2025-02-22T00:00:00"/>
    <x v="2"/>
    <x v="1"/>
    <x v="1"/>
    <x v="0"/>
    <x v="21"/>
    <x v="3"/>
    <x v="7"/>
    <x v="2"/>
  </r>
  <r>
    <s v="TX501362"/>
    <x v="2"/>
    <x v="1"/>
    <n v="78.099999999999994"/>
    <n v="156.19999999999999"/>
    <x v="51"/>
    <d v="2025-02-22T00:00:00"/>
    <x v="1"/>
    <x v="0"/>
    <x v="0"/>
    <x v="0"/>
    <x v="1"/>
    <x v="3"/>
    <x v="7"/>
    <x v="1"/>
  </r>
  <r>
    <s v="TX501363"/>
    <x v="13"/>
    <x v="1"/>
    <n v="43.2"/>
    <n v="86.4"/>
    <x v="51"/>
    <d v="2025-02-22T00:00:00"/>
    <x v="0"/>
    <x v="1"/>
    <x v="1"/>
    <x v="0"/>
    <x v="1"/>
    <x v="3"/>
    <x v="7"/>
    <x v="0"/>
  </r>
  <r>
    <s v="TX501364"/>
    <x v="8"/>
    <x v="12"/>
    <n v="28.4"/>
    <n v="113.6"/>
    <x v="51"/>
    <d v="2025-02-27T00:00:00"/>
    <x v="1"/>
    <x v="2"/>
    <x v="0"/>
    <x v="0"/>
    <x v="3"/>
    <x v="4"/>
    <x v="7"/>
    <x v="1"/>
  </r>
  <r>
    <s v="TX501365"/>
    <x v="2"/>
    <x v="1"/>
    <n v="81.7"/>
    <n v="163.4"/>
    <x v="51"/>
    <d v="2025-02-21T00:00:00"/>
    <x v="1"/>
    <x v="0"/>
    <x v="0"/>
    <x v="0"/>
    <x v="3"/>
    <x v="7"/>
    <x v="7"/>
    <x v="1"/>
  </r>
  <r>
    <s v="TX501366"/>
    <x v="18"/>
    <x v="1"/>
    <n v="56.7"/>
    <n v="113.4"/>
    <x v="51"/>
    <d v="2025-02-23T00:00:00"/>
    <x v="0"/>
    <x v="0"/>
    <x v="2"/>
    <x v="0"/>
    <x v="3"/>
    <x v="1"/>
    <x v="7"/>
    <x v="0"/>
  </r>
  <r>
    <s v="TX501367"/>
    <x v="3"/>
    <x v="12"/>
    <n v="66.5"/>
    <n v="266"/>
    <x v="51"/>
    <d v="2025-02-21T00:00:00"/>
    <x v="2"/>
    <x v="0"/>
    <x v="2"/>
    <x v="0"/>
    <x v="3"/>
    <x v="7"/>
    <x v="7"/>
    <x v="2"/>
  </r>
  <r>
    <s v="TX501368"/>
    <x v="1"/>
    <x v="1"/>
    <n v="105.3"/>
    <n v="210.6"/>
    <x v="51"/>
    <d v="2025-02-25T00:00:00"/>
    <x v="1"/>
    <x v="0"/>
    <x v="1"/>
    <x v="0"/>
    <x v="3"/>
    <x v="5"/>
    <x v="7"/>
    <x v="1"/>
  </r>
  <r>
    <s v="TX501369"/>
    <x v="10"/>
    <x v="9"/>
    <n v="33.799999999999997"/>
    <n v="169"/>
    <x v="51"/>
    <d v="2025-02-26T00:00:00"/>
    <x v="1"/>
    <x v="0"/>
    <x v="0"/>
    <x v="0"/>
    <x v="3"/>
    <x v="0"/>
    <x v="7"/>
    <x v="1"/>
  </r>
  <r>
    <s v="TX501370"/>
    <x v="6"/>
    <x v="2"/>
    <n v="63.4"/>
    <n v="190.2"/>
    <x v="51"/>
    <d v="2025-02-26T00:00:00"/>
    <x v="1"/>
    <x v="3"/>
    <x v="1"/>
    <x v="0"/>
    <x v="24"/>
    <x v="0"/>
    <x v="7"/>
    <x v="1"/>
  </r>
  <r>
    <s v="TX501371"/>
    <x v="6"/>
    <x v="2"/>
    <n v="49"/>
    <n v="147"/>
    <x v="51"/>
    <d v="2025-02-25T00:00:00"/>
    <x v="1"/>
    <x v="3"/>
    <x v="0"/>
    <x v="0"/>
    <x v="49"/>
    <x v="5"/>
    <x v="7"/>
    <x v="1"/>
  </r>
  <r>
    <s v="TX501372"/>
    <x v="1"/>
    <x v="1"/>
    <n v="40"/>
    <n v="80"/>
    <x v="51"/>
    <d v="2025-02-22T00:00:00"/>
    <x v="2"/>
    <x v="4"/>
    <x v="1"/>
    <x v="0"/>
    <x v="23"/>
    <x v="3"/>
    <x v="7"/>
    <x v="2"/>
  </r>
  <r>
    <s v="TX501373"/>
    <x v="6"/>
    <x v="12"/>
    <n v="86.3"/>
    <n v="345.2"/>
    <x v="51"/>
    <d v="2025-02-22T00:00:00"/>
    <x v="3"/>
    <x v="0"/>
    <x v="0"/>
    <x v="0"/>
    <x v="6"/>
    <x v="3"/>
    <x v="7"/>
    <x v="3"/>
  </r>
  <r>
    <s v="TX501374"/>
    <x v="6"/>
    <x v="0"/>
    <n v="51.6"/>
    <n v="51.6"/>
    <x v="51"/>
    <d v="2025-02-23T00:00:00"/>
    <x v="2"/>
    <x v="2"/>
    <x v="2"/>
    <x v="0"/>
    <x v="6"/>
    <x v="1"/>
    <x v="7"/>
    <x v="2"/>
  </r>
  <r>
    <s v="TX501375"/>
    <x v="10"/>
    <x v="2"/>
    <n v="26.7"/>
    <n v="80.099999999999994"/>
    <x v="51"/>
    <d v="2025-02-26T00:00:00"/>
    <x v="2"/>
    <x v="2"/>
    <x v="1"/>
    <x v="0"/>
    <x v="6"/>
    <x v="0"/>
    <x v="7"/>
    <x v="2"/>
  </r>
  <r>
    <s v="TX501376"/>
    <x v="18"/>
    <x v="1"/>
    <n v="68.099999999999994"/>
    <n v="136.19999999999999"/>
    <x v="51"/>
    <d v="2025-02-22T00:00:00"/>
    <x v="1"/>
    <x v="0"/>
    <x v="1"/>
    <x v="0"/>
    <x v="6"/>
    <x v="3"/>
    <x v="7"/>
    <x v="1"/>
  </r>
  <r>
    <s v="TX501377"/>
    <x v="1"/>
    <x v="0"/>
    <n v="81.7"/>
    <n v="81.7"/>
    <x v="51"/>
    <d v="2025-02-22T00:00:00"/>
    <x v="1"/>
    <x v="0"/>
    <x v="0"/>
    <x v="0"/>
    <x v="7"/>
    <x v="3"/>
    <x v="7"/>
    <x v="1"/>
  </r>
  <r>
    <s v="TX501378"/>
    <x v="18"/>
    <x v="7"/>
    <n v="25.1"/>
    <n v="251"/>
    <x v="51"/>
    <d v="2025-02-24T00:00:00"/>
    <x v="1"/>
    <x v="3"/>
    <x v="1"/>
    <x v="0"/>
    <x v="8"/>
    <x v="2"/>
    <x v="7"/>
    <x v="1"/>
  </r>
  <r>
    <s v="TX501379"/>
    <x v="8"/>
    <x v="0"/>
    <n v="20.2"/>
    <n v="20.2"/>
    <x v="51"/>
    <d v="2025-02-25T00:00:00"/>
    <x v="2"/>
    <x v="0"/>
    <x v="0"/>
    <x v="0"/>
    <x v="8"/>
    <x v="5"/>
    <x v="7"/>
    <x v="2"/>
  </r>
  <r>
    <s v="TX501380"/>
    <x v="8"/>
    <x v="2"/>
    <n v="15.4"/>
    <n v="46.2"/>
    <x v="51"/>
    <d v="2025-02-22T00:00:00"/>
    <x v="1"/>
    <x v="1"/>
    <x v="2"/>
    <x v="0"/>
    <x v="8"/>
    <x v="3"/>
    <x v="7"/>
    <x v="1"/>
  </r>
  <r>
    <s v="TX501381"/>
    <x v="10"/>
    <x v="0"/>
    <n v="59.2"/>
    <n v="59.2"/>
    <x v="51"/>
    <d v="2025-02-22T00:00:00"/>
    <x v="1"/>
    <x v="2"/>
    <x v="2"/>
    <x v="0"/>
    <x v="17"/>
    <x v="3"/>
    <x v="7"/>
    <x v="1"/>
  </r>
  <r>
    <s v="TX501382"/>
    <x v="0"/>
    <x v="0"/>
    <n v="46.7"/>
    <n v="46.7"/>
    <x v="51"/>
    <d v="2025-02-26T00:00:00"/>
    <x v="1"/>
    <x v="0"/>
    <x v="0"/>
    <x v="0"/>
    <x v="17"/>
    <x v="0"/>
    <x v="7"/>
    <x v="1"/>
  </r>
  <r>
    <s v="TX501383"/>
    <x v="6"/>
    <x v="20"/>
    <n v="41.6"/>
    <n v="624"/>
    <x v="51"/>
    <d v="2025-02-23T00:00:00"/>
    <x v="1"/>
    <x v="1"/>
    <x v="0"/>
    <x v="0"/>
    <x v="26"/>
    <x v="1"/>
    <x v="7"/>
    <x v="1"/>
  </r>
  <r>
    <s v="TX501384"/>
    <x v="8"/>
    <x v="1"/>
    <n v="19.2"/>
    <n v="38.4"/>
    <x v="51"/>
    <d v="2025-02-24T00:00:00"/>
    <x v="1"/>
    <x v="4"/>
    <x v="2"/>
    <x v="0"/>
    <x v="9"/>
    <x v="2"/>
    <x v="7"/>
    <x v="1"/>
  </r>
  <r>
    <s v="TX501385"/>
    <x v="17"/>
    <x v="3"/>
    <n v="41.8"/>
    <n v="292.59999999999997"/>
    <x v="51"/>
    <d v="2025-02-23T00:00:00"/>
    <x v="2"/>
    <x v="2"/>
    <x v="0"/>
    <x v="0"/>
    <x v="11"/>
    <x v="1"/>
    <x v="7"/>
    <x v="2"/>
  </r>
  <r>
    <s v="TX501386"/>
    <x v="8"/>
    <x v="13"/>
    <n v="37.4"/>
    <n v="224.39999999999998"/>
    <x v="51"/>
    <d v="2025-02-23T00:00:00"/>
    <x v="1"/>
    <x v="0"/>
    <x v="2"/>
    <x v="0"/>
    <x v="11"/>
    <x v="1"/>
    <x v="7"/>
    <x v="1"/>
  </r>
  <r>
    <s v="TX501387"/>
    <x v="10"/>
    <x v="2"/>
    <n v="60.2"/>
    <n v="180.60000000000002"/>
    <x v="51"/>
    <d v="2025-02-24T00:00:00"/>
    <x v="1"/>
    <x v="4"/>
    <x v="1"/>
    <x v="0"/>
    <x v="38"/>
    <x v="2"/>
    <x v="7"/>
    <x v="1"/>
  </r>
  <r>
    <s v="TX501388"/>
    <x v="9"/>
    <x v="1"/>
    <n v="91.5"/>
    <n v="183"/>
    <x v="52"/>
    <d v="2025-02-23T00:00:00"/>
    <x v="1"/>
    <x v="0"/>
    <x v="0"/>
    <x v="0"/>
    <x v="13"/>
    <x v="3"/>
    <x v="7"/>
    <x v="1"/>
  </r>
  <r>
    <s v="TX501389"/>
    <x v="3"/>
    <x v="9"/>
    <n v="55.7"/>
    <n v="278.5"/>
    <x v="52"/>
    <d v="2025-02-24T00:00:00"/>
    <x v="0"/>
    <x v="1"/>
    <x v="2"/>
    <x v="0"/>
    <x v="21"/>
    <x v="1"/>
    <x v="7"/>
    <x v="0"/>
  </r>
  <r>
    <s v="TX501390"/>
    <x v="7"/>
    <x v="1"/>
    <n v="76.7"/>
    <n v="153.4"/>
    <x v="52"/>
    <d v="2025-02-24T00:00:00"/>
    <x v="1"/>
    <x v="0"/>
    <x v="1"/>
    <x v="0"/>
    <x v="21"/>
    <x v="1"/>
    <x v="7"/>
    <x v="1"/>
  </r>
  <r>
    <s v="TX501391"/>
    <x v="8"/>
    <x v="38"/>
    <n v="28.2"/>
    <n v="592.19999999999993"/>
    <x v="52"/>
    <d v="2025-02-27T00:00:00"/>
    <x v="1"/>
    <x v="2"/>
    <x v="0"/>
    <x v="0"/>
    <x v="1"/>
    <x v="0"/>
    <x v="7"/>
    <x v="1"/>
  </r>
  <r>
    <s v="TX501392"/>
    <x v="7"/>
    <x v="9"/>
    <n v="93.2"/>
    <n v="466"/>
    <x v="52"/>
    <d v="2025-02-24T00:00:00"/>
    <x v="2"/>
    <x v="4"/>
    <x v="2"/>
    <x v="0"/>
    <x v="1"/>
    <x v="1"/>
    <x v="7"/>
    <x v="2"/>
  </r>
  <r>
    <s v="TX501393"/>
    <x v="17"/>
    <x v="0"/>
    <n v="33.299999999999997"/>
    <n v="33.299999999999997"/>
    <x v="52"/>
    <d v="2025-02-23T00:00:00"/>
    <x v="1"/>
    <x v="4"/>
    <x v="0"/>
    <x v="0"/>
    <x v="2"/>
    <x v="3"/>
    <x v="7"/>
    <x v="1"/>
  </r>
  <r>
    <s v="TX501394"/>
    <x v="10"/>
    <x v="1"/>
    <n v="39.1"/>
    <n v="78.2"/>
    <x v="52"/>
    <d v="2025-02-25T00:00:00"/>
    <x v="1"/>
    <x v="0"/>
    <x v="0"/>
    <x v="0"/>
    <x v="44"/>
    <x v="2"/>
    <x v="7"/>
    <x v="1"/>
  </r>
  <r>
    <s v="TX501395"/>
    <x v="7"/>
    <x v="4"/>
    <n v="45.3"/>
    <n v="543.59999999999991"/>
    <x v="52"/>
    <d v="2025-02-23T00:00:00"/>
    <x v="1"/>
    <x v="2"/>
    <x v="0"/>
    <x v="0"/>
    <x v="33"/>
    <x v="3"/>
    <x v="7"/>
    <x v="1"/>
  </r>
  <r>
    <s v="TX501396"/>
    <x v="9"/>
    <x v="3"/>
    <n v="33.9"/>
    <n v="237.29999999999998"/>
    <x v="52"/>
    <d v="2025-02-23T00:00:00"/>
    <x v="1"/>
    <x v="4"/>
    <x v="0"/>
    <x v="0"/>
    <x v="33"/>
    <x v="3"/>
    <x v="7"/>
    <x v="1"/>
  </r>
  <r>
    <s v="TX501397"/>
    <x v="8"/>
    <x v="2"/>
    <n v="19"/>
    <n v="57"/>
    <x v="52"/>
    <d v="2025-02-23T00:00:00"/>
    <x v="1"/>
    <x v="0"/>
    <x v="2"/>
    <x v="0"/>
    <x v="15"/>
    <x v="3"/>
    <x v="7"/>
    <x v="1"/>
  </r>
  <r>
    <s v="TX501398"/>
    <x v="4"/>
    <x v="0"/>
    <n v="41.9"/>
    <n v="41.9"/>
    <x v="52"/>
    <d v="2025-02-25T00:00:00"/>
    <x v="2"/>
    <x v="2"/>
    <x v="0"/>
    <x v="0"/>
    <x v="22"/>
    <x v="2"/>
    <x v="7"/>
    <x v="2"/>
  </r>
  <r>
    <s v="TX501399"/>
    <x v="1"/>
    <x v="12"/>
    <n v="37.5"/>
    <n v="150"/>
    <x v="52"/>
    <d v="2025-02-22T00:00:00"/>
    <x v="2"/>
    <x v="0"/>
    <x v="0"/>
    <x v="0"/>
    <x v="3"/>
    <x v="7"/>
    <x v="7"/>
    <x v="2"/>
  </r>
  <r>
    <s v="TX501400"/>
    <x v="0"/>
    <x v="1"/>
    <n v="40.799999999999997"/>
    <n v="81.599999999999994"/>
    <x v="52"/>
    <d v="2025-02-25T00:00:00"/>
    <x v="1"/>
    <x v="0"/>
    <x v="0"/>
    <x v="0"/>
    <x v="3"/>
    <x v="2"/>
    <x v="7"/>
    <x v="1"/>
  </r>
  <r>
    <s v="TX501401"/>
    <x v="0"/>
    <x v="12"/>
    <n v="23.1"/>
    <n v="92.4"/>
    <x v="52"/>
    <d v="2025-02-23T00:00:00"/>
    <x v="2"/>
    <x v="4"/>
    <x v="0"/>
    <x v="0"/>
    <x v="3"/>
    <x v="3"/>
    <x v="7"/>
    <x v="2"/>
  </r>
  <r>
    <s v="TX501402"/>
    <x v="8"/>
    <x v="9"/>
    <n v="39.299999999999997"/>
    <n v="196.5"/>
    <x v="52"/>
    <d v="2025-02-23T00:00:00"/>
    <x v="2"/>
    <x v="0"/>
    <x v="0"/>
    <x v="0"/>
    <x v="3"/>
    <x v="3"/>
    <x v="7"/>
    <x v="2"/>
  </r>
  <r>
    <s v="TX501403"/>
    <x v="2"/>
    <x v="12"/>
    <n v="85.2"/>
    <n v="340.8"/>
    <x v="52"/>
    <d v="2025-02-27T00:00:00"/>
    <x v="1"/>
    <x v="2"/>
    <x v="0"/>
    <x v="0"/>
    <x v="3"/>
    <x v="0"/>
    <x v="7"/>
    <x v="1"/>
  </r>
  <r>
    <s v="TX501404"/>
    <x v="8"/>
    <x v="13"/>
    <n v="16"/>
    <n v="96"/>
    <x v="52"/>
    <d v="2025-02-25T00:00:00"/>
    <x v="1"/>
    <x v="1"/>
    <x v="0"/>
    <x v="0"/>
    <x v="3"/>
    <x v="2"/>
    <x v="7"/>
    <x v="1"/>
  </r>
  <r>
    <s v="TX501405"/>
    <x v="1"/>
    <x v="1"/>
    <n v="33.799999999999997"/>
    <n v="67.599999999999994"/>
    <x v="52"/>
    <d v="2025-02-26T00:00:00"/>
    <x v="2"/>
    <x v="1"/>
    <x v="0"/>
    <x v="0"/>
    <x v="3"/>
    <x v="5"/>
    <x v="7"/>
    <x v="2"/>
  </r>
  <r>
    <s v="TX501406"/>
    <x v="3"/>
    <x v="0"/>
    <n v="70"/>
    <n v="70"/>
    <x v="52"/>
    <d v="2025-02-23T00:00:00"/>
    <x v="2"/>
    <x v="0"/>
    <x v="0"/>
    <x v="0"/>
    <x v="3"/>
    <x v="3"/>
    <x v="7"/>
    <x v="2"/>
  </r>
  <r>
    <s v="TX501407"/>
    <x v="9"/>
    <x v="0"/>
    <n v="88"/>
    <n v="88"/>
    <x v="52"/>
    <d v="2025-02-27T00:00:00"/>
    <x v="2"/>
    <x v="3"/>
    <x v="0"/>
    <x v="0"/>
    <x v="3"/>
    <x v="0"/>
    <x v="7"/>
    <x v="2"/>
  </r>
  <r>
    <s v="TX501408"/>
    <x v="2"/>
    <x v="2"/>
    <n v="74.099999999999994"/>
    <n v="222.29999999999998"/>
    <x v="52"/>
    <d v="2025-02-22T00:00:00"/>
    <x v="1"/>
    <x v="4"/>
    <x v="1"/>
    <x v="0"/>
    <x v="3"/>
    <x v="7"/>
    <x v="7"/>
    <x v="1"/>
  </r>
  <r>
    <s v="TX501409"/>
    <x v="2"/>
    <x v="0"/>
    <n v="161.9"/>
    <n v="161.9"/>
    <x v="52"/>
    <d v="2025-02-24T00:00:00"/>
    <x v="1"/>
    <x v="2"/>
    <x v="0"/>
    <x v="0"/>
    <x v="3"/>
    <x v="1"/>
    <x v="7"/>
    <x v="1"/>
  </r>
  <r>
    <s v="TX501410"/>
    <x v="4"/>
    <x v="1"/>
    <n v="44"/>
    <n v="88"/>
    <x v="52"/>
    <d v="2025-02-23T00:00:00"/>
    <x v="3"/>
    <x v="4"/>
    <x v="1"/>
    <x v="0"/>
    <x v="3"/>
    <x v="3"/>
    <x v="7"/>
    <x v="3"/>
  </r>
  <r>
    <s v="TX501411"/>
    <x v="11"/>
    <x v="0"/>
    <n v="32.1"/>
    <n v="32.1"/>
    <x v="52"/>
    <d v="2025-02-22T00:00:00"/>
    <x v="2"/>
    <x v="3"/>
    <x v="3"/>
    <x v="0"/>
    <x v="3"/>
    <x v="7"/>
    <x v="7"/>
    <x v="2"/>
  </r>
  <r>
    <s v="TX501412"/>
    <x v="2"/>
    <x v="12"/>
    <n v="104.8"/>
    <n v="419.2"/>
    <x v="53"/>
    <d v="2025-02-25T00:00:00"/>
    <x v="3"/>
    <x v="0"/>
    <x v="0"/>
    <x v="0"/>
    <x v="3"/>
    <x v="1"/>
    <x v="8"/>
    <x v="3"/>
  </r>
  <r>
    <s v="TX501413"/>
    <x v="9"/>
    <x v="13"/>
    <n v="67.400000000000006"/>
    <n v="404.40000000000003"/>
    <x v="53"/>
    <d v="2025-02-24T00:00:00"/>
    <x v="2"/>
    <x v="3"/>
    <x v="0"/>
    <x v="0"/>
    <x v="3"/>
    <x v="3"/>
    <x v="8"/>
    <x v="2"/>
  </r>
  <r>
    <s v="TX501414"/>
    <x v="6"/>
    <x v="1"/>
    <n v="115.2"/>
    <n v="230.4"/>
    <x v="53"/>
    <d v="2025-02-24T00:00:00"/>
    <x v="2"/>
    <x v="1"/>
    <x v="0"/>
    <x v="0"/>
    <x v="4"/>
    <x v="3"/>
    <x v="8"/>
    <x v="2"/>
  </r>
  <r>
    <s v="TX501415"/>
    <x v="8"/>
    <x v="19"/>
    <n v="15.5"/>
    <n v="449.5"/>
    <x v="53"/>
    <d v="2025-02-25T00:00:00"/>
    <x v="2"/>
    <x v="0"/>
    <x v="1"/>
    <x v="0"/>
    <x v="23"/>
    <x v="1"/>
    <x v="8"/>
    <x v="2"/>
  </r>
  <r>
    <s v="TX501416"/>
    <x v="6"/>
    <x v="5"/>
    <n v="66.400000000000006"/>
    <n v="730.40000000000009"/>
    <x v="53"/>
    <d v="2025-02-25T00:00:00"/>
    <x v="2"/>
    <x v="0"/>
    <x v="0"/>
    <x v="0"/>
    <x v="6"/>
    <x v="1"/>
    <x v="8"/>
    <x v="2"/>
  </r>
  <r>
    <s v="TX501417"/>
    <x v="9"/>
    <x v="4"/>
    <n v="68.099999999999994"/>
    <n v="817.19999999999993"/>
    <x v="53"/>
    <d v="2025-02-24T00:00:00"/>
    <x v="2"/>
    <x v="2"/>
    <x v="0"/>
    <x v="0"/>
    <x v="8"/>
    <x v="3"/>
    <x v="8"/>
    <x v="2"/>
  </r>
  <r>
    <s v="TX501418"/>
    <x v="8"/>
    <x v="9"/>
    <n v="32.5"/>
    <n v="162.5"/>
    <x v="53"/>
    <d v="2025-02-27T00:00:00"/>
    <x v="1"/>
    <x v="2"/>
    <x v="1"/>
    <x v="0"/>
    <x v="8"/>
    <x v="5"/>
    <x v="8"/>
    <x v="1"/>
  </r>
  <r>
    <s v="TX501419"/>
    <x v="15"/>
    <x v="2"/>
    <n v="61.2"/>
    <n v="183.60000000000002"/>
    <x v="53"/>
    <d v="2025-02-25T00:00:00"/>
    <x v="2"/>
    <x v="1"/>
    <x v="1"/>
    <x v="0"/>
    <x v="8"/>
    <x v="1"/>
    <x v="8"/>
    <x v="2"/>
  </r>
  <r>
    <s v="TX501420"/>
    <x v="9"/>
    <x v="1"/>
    <n v="54.2"/>
    <n v="108.4"/>
    <x v="53"/>
    <d v="2025-02-24T00:00:00"/>
    <x v="2"/>
    <x v="1"/>
    <x v="0"/>
    <x v="0"/>
    <x v="8"/>
    <x v="3"/>
    <x v="8"/>
    <x v="2"/>
  </r>
  <r>
    <s v="TX501421"/>
    <x v="11"/>
    <x v="8"/>
    <n v="28.7"/>
    <n v="229.6"/>
    <x v="53"/>
    <d v="2025-02-25T00:00:00"/>
    <x v="1"/>
    <x v="1"/>
    <x v="0"/>
    <x v="0"/>
    <x v="9"/>
    <x v="1"/>
    <x v="8"/>
    <x v="1"/>
  </r>
  <r>
    <s v="TX501422"/>
    <x v="12"/>
    <x v="13"/>
    <n v="38.200000000000003"/>
    <n v="229.20000000000002"/>
    <x v="53"/>
    <d v="2025-02-27T00:00:00"/>
    <x v="2"/>
    <x v="0"/>
    <x v="1"/>
    <x v="0"/>
    <x v="9"/>
    <x v="5"/>
    <x v="8"/>
    <x v="2"/>
  </r>
  <r>
    <s v="TX501423"/>
    <x v="8"/>
    <x v="4"/>
    <n v="17.600000000000001"/>
    <n v="211.20000000000002"/>
    <x v="53"/>
    <d v="2025-02-24T00:00:00"/>
    <x v="2"/>
    <x v="2"/>
    <x v="1"/>
    <x v="0"/>
    <x v="9"/>
    <x v="3"/>
    <x v="8"/>
    <x v="2"/>
  </r>
  <r>
    <s v="TX501424"/>
    <x v="10"/>
    <x v="2"/>
    <n v="74.599999999999994"/>
    <n v="223.79999999999998"/>
    <x v="53"/>
    <d v="2025-02-23T00:00:00"/>
    <x v="2"/>
    <x v="2"/>
    <x v="0"/>
    <x v="0"/>
    <x v="11"/>
    <x v="7"/>
    <x v="8"/>
    <x v="2"/>
  </r>
  <r>
    <s v="TX501425"/>
    <x v="16"/>
    <x v="20"/>
    <n v="72.599999999999994"/>
    <n v="1089"/>
    <x v="53"/>
    <d v="2025-02-23T00:00:00"/>
    <x v="0"/>
    <x v="1"/>
    <x v="1"/>
    <x v="0"/>
    <x v="11"/>
    <x v="7"/>
    <x v="8"/>
    <x v="0"/>
  </r>
  <r>
    <s v="TX501426"/>
    <x v="7"/>
    <x v="0"/>
    <n v="62.3"/>
    <n v="62.3"/>
    <x v="53"/>
    <d v="2025-02-24T00:00:00"/>
    <x v="2"/>
    <x v="1"/>
    <x v="0"/>
    <x v="0"/>
    <x v="11"/>
    <x v="3"/>
    <x v="8"/>
    <x v="2"/>
  </r>
  <r>
    <s v="TX501427"/>
    <x v="3"/>
    <x v="2"/>
    <n v="33.799999999999997"/>
    <n v="101.39999999999999"/>
    <x v="53"/>
    <d v="2025-02-25T00:00:00"/>
    <x v="1"/>
    <x v="0"/>
    <x v="2"/>
    <x v="0"/>
    <x v="20"/>
    <x v="1"/>
    <x v="8"/>
    <x v="1"/>
  </r>
  <r>
    <s v="TX501428"/>
    <x v="9"/>
    <x v="0"/>
    <n v="85.7"/>
    <n v="85.7"/>
    <x v="53"/>
    <d v="2025-02-26T00:00:00"/>
    <x v="1"/>
    <x v="3"/>
    <x v="1"/>
    <x v="0"/>
    <x v="21"/>
    <x v="2"/>
    <x v="8"/>
    <x v="1"/>
  </r>
  <r>
    <s v="TX501429"/>
    <x v="6"/>
    <x v="1"/>
    <n v="92.1"/>
    <n v="184.2"/>
    <x v="53"/>
    <d v="2025-02-25T00:00:00"/>
    <x v="1"/>
    <x v="1"/>
    <x v="0"/>
    <x v="0"/>
    <x v="21"/>
    <x v="1"/>
    <x v="8"/>
    <x v="1"/>
  </r>
  <r>
    <s v="TX501430"/>
    <x v="16"/>
    <x v="2"/>
    <n v="65.099999999999994"/>
    <n v="195.29999999999998"/>
    <x v="53"/>
    <d v="2025-02-26T00:00:00"/>
    <x v="1"/>
    <x v="0"/>
    <x v="0"/>
    <x v="0"/>
    <x v="1"/>
    <x v="2"/>
    <x v="8"/>
    <x v="1"/>
  </r>
  <r>
    <s v="TX501431"/>
    <x v="9"/>
    <x v="3"/>
    <n v="20.3"/>
    <n v="142.1"/>
    <x v="53"/>
    <d v="2025-02-24T00:00:00"/>
    <x v="2"/>
    <x v="2"/>
    <x v="2"/>
    <x v="0"/>
    <x v="2"/>
    <x v="3"/>
    <x v="8"/>
    <x v="2"/>
  </r>
  <r>
    <s v="TX501432"/>
    <x v="19"/>
    <x v="1"/>
    <n v="29.8"/>
    <n v="59.6"/>
    <x v="53"/>
    <d v="2025-02-25T00:00:00"/>
    <x v="2"/>
    <x v="1"/>
    <x v="2"/>
    <x v="0"/>
    <x v="34"/>
    <x v="1"/>
    <x v="8"/>
    <x v="2"/>
  </r>
  <r>
    <s v="TX501433"/>
    <x v="0"/>
    <x v="1"/>
    <n v="24.2"/>
    <n v="48.4"/>
    <x v="53"/>
    <d v="2025-02-25T00:00:00"/>
    <x v="2"/>
    <x v="3"/>
    <x v="2"/>
    <x v="0"/>
    <x v="3"/>
    <x v="1"/>
    <x v="8"/>
    <x v="2"/>
  </r>
  <r>
    <s v="TX501434"/>
    <x v="3"/>
    <x v="0"/>
    <n v="57.3"/>
    <n v="57.3"/>
    <x v="53"/>
    <d v="2025-02-25T00:00:00"/>
    <x v="1"/>
    <x v="0"/>
    <x v="0"/>
    <x v="0"/>
    <x v="3"/>
    <x v="1"/>
    <x v="8"/>
    <x v="1"/>
  </r>
  <r>
    <s v="TX501435"/>
    <x v="2"/>
    <x v="0"/>
    <n v="108.9"/>
    <n v="108.9"/>
    <x v="53"/>
    <d v="2025-02-25T00:00:00"/>
    <x v="2"/>
    <x v="1"/>
    <x v="0"/>
    <x v="0"/>
    <x v="3"/>
    <x v="1"/>
    <x v="8"/>
    <x v="2"/>
  </r>
  <r>
    <s v="TX501436"/>
    <x v="7"/>
    <x v="9"/>
    <n v="50.7"/>
    <n v="253.5"/>
    <x v="53"/>
    <d v="2025-02-24T00:00:00"/>
    <x v="2"/>
    <x v="0"/>
    <x v="0"/>
    <x v="0"/>
    <x v="3"/>
    <x v="3"/>
    <x v="8"/>
    <x v="2"/>
  </r>
  <r>
    <s v="TX501437"/>
    <x v="7"/>
    <x v="11"/>
    <n v="66.099999999999994"/>
    <n v="594.9"/>
    <x v="53"/>
    <d v="2025-03-09T00:00:00"/>
    <x v="2"/>
    <x v="1"/>
    <x v="0"/>
    <x v="0"/>
    <x v="3"/>
    <x v="12"/>
    <x v="8"/>
    <x v="2"/>
  </r>
  <r>
    <s v="TX501438"/>
    <x v="12"/>
    <x v="9"/>
    <n v="36.700000000000003"/>
    <n v="183.5"/>
    <x v="53"/>
    <d v="2025-02-27T00:00:00"/>
    <x v="2"/>
    <x v="4"/>
    <x v="0"/>
    <x v="0"/>
    <x v="3"/>
    <x v="5"/>
    <x v="8"/>
    <x v="2"/>
  </r>
  <r>
    <s v="TX501439"/>
    <x v="8"/>
    <x v="14"/>
    <n v="19.3"/>
    <n v="328.1"/>
    <x v="53"/>
    <d v="2025-02-25T00:00:00"/>
    <x v="1"/>
    <x v="0"/>
    <x v="0"/>
    <x v="0"/>
    <x v="43"/>
    <x v="1"/>
    <x v="8"/>
    <x v="1"/>
  </r>
  <r>
    <s v="TX501440"/>
    <x v="8"/>
    <x v="12"/>
    <n v="20.7"/>
    <n v="82.8"/>
    <x v="53"/>
    <d v="2025-02-24T00:00:00"/>
    <x v="1"/>
    <x v="1"/>
    <x v="2"/>
    <x v="0"/>
    <x v="6"/>
    <x v="3"/>
    <x v="8"/>
    <x v="1"/>
  </r>
  <r>
    <s v="TX501441"/>
    <x v="5"/>
    <x v="2"/>
    <n v="54.7"/>
    <n v="164.10000000000002"/>
    <x v="53"/>
    <d v="2025-02-23T00:00:00"/>
    <x v="3"/>
    <x v="1"/>
    <x v="4"/>
    <x v="0"/>
    <x v="6"/>
    <x v="7"/>
    <x v="8"/>
    <x v="3"/>
  </r>
  <r>
    <s v="TX501442"/>
    <x v="4"/>
    <x v="1"/>
    <n v="19.8"/>
    <n v="39.6"/>
    <x v="53"/>
    <d v="2025-02-27T00:00:00"/>
    <x v="2"/>
    <x v="4"/>
    <x v="1"/>
    <x v="0"/>
    <x v="8"/>
    <x v="5"/>
    <x v="8"/>
    <x v="2"/>
  </r>
  <r>
    <s v="TX501443"/>
    <x v="7"/>
    <x v="0"/>
    <n v="41.1"/>
    <n v="41.1"/>
    <x v="53"/>
    <d v="2025-02-25T00:00:00"/>
    <x v="2"/>
    <x v="0"/>
    <x v="2"/>
    <x v="0"/>
    <x v="8"/>
    <x v="1"/>
    <x v="8"/>
    <x v="2"/>
  </r>
  <r>
    <s v="TX501444"/>
    <x v="11"/>
    <x v="8"/>
    <n v="43.5"/>
    <n v="348"/>
    <x v="53"/>
    <d v="2025-02-27T00:00:00"/>
    <x v="2"/>
    <x v="3"/>
    <x v="0"/>
    <x v="0"/>
    <x v="8"/>
    <x v="5"/>
    <x v="8"/>
    <x v="2"/>
  </r>
  <r>
    <s v="TX501445"/>
    <x v="8"/>
    <x v="21"/>
    <n v="19"/>
    <n v="266"/>
    <x v="53"/>
    <d v="2025-02-24T00:00:00"/>
    <x v="1"/>
    <x v="0"/>
    <x v="0"/>
    <x v="0"/>
    <x v="26"/>
    <x v="3"/>
    <x v="8"/>
    <x v="1"/>
  </r>
  <r>
    <s v="TX501446"/>
    <x v="2"/>
    <x v="12"/>
    <n v="51.4"/>
    <n v="205.6"/>
    <x v="53"/>
    <d v="2025-02-23T00:00:00"/>
    <x v="2"/>
    <x v="0"/>
    <x v="0"/>
    <x v="0"/>
    <x v="26"/>
    <x v="7"/>
    <x v="8"/>
    <x v="2"/>
  </r>
  <r>
    <s v="TX501447"/>
    <x v="10"/>
    <x v="1"/>
    <n v="39.799999999999997"/>
    <n v="79.599999999999994"/>
    <x v="53"/>
    <d v="2025-02-26T00:00:00"/>
    <x v="1"/>
    <x v="3"/>
    <x v="1"/>
    <x v="0"/>
    <x v="13"/>
    <x v="2"/>
    <x v="8"/>
    <x v="1"/>
  </r>
  <r>
    <s v="TX501448"/>
    <x v="6"/>
    <x v="9"/>
    <n v="61"/>
    <n v="305"/>
    <x v="53"/>
    <d v="2025-02-24T00:00:00"/>
    <x v="0"/>
    <x v="0"/>
    <x v="2"/>
    <x v="0"/>
    <x v="21"/>
    <x v="3"/>
    <x v="8"/>
    <x v="0"/>
  </r>
  <r>
    <s v="TX501449"/>
    <x v="8"/>
    <x v="5"/>
    <n v="15.1"/>
    <n v="166.1"/>
    <x v="54"/>
    <d v="2025-03-01T00:00:00"/>
    <x v="1"/>
    <x v="3"/>
    <x v="2"/>
    <x v="0"/>
    <x v="2"/>
    <x v="0"/>
    <x v="8"/>
    <x v="1"/>
  </r>
  <r>
    <s v="TX501450"/>
    <x v="1"/>
    <x v="3"/>
    <n v="71.3"/>
    <n v="499.09999999999997"/>
    <x v="54"/>
    <d v="2025-02-25T00:00:00"/>
    <x v="1"/>
    <x v="4"/>
    <x v="0"/>
    <x v="0"/>
    <x v="3"/>
    <x v="3"/>
    <x v="8"/>
    <x v="1"/>
  </r>
  <r>
    <s v="TX501451"/>
    <x v="10"/>
    <x v="0"/>
    <n v="25.8"/>
    <n v="25.8"/>
    <x v="54"/>
    <d v="2025-02-26T00:00:00"/>
    <x v="2"/>
    <x v="0"/>
    <x v="2"/>
    <x v="0"/>
    <x v="3"/>
    <x v="1"/>
    <x v="8"/>
    <x v="2"/>
  </r>
  <r>
    <s v="TX501452"/>
    <x v="8"/>
    <x v="9"/>
    <n v="39.6"/>
    <n v="198"/>
    <x v="54"/>
    <d v="2025-02-26T00:00:00"/>
    <x v="1"/>
    <x v="1"/>
    <x v="2"/>
    <x v="0"/>
    <x v="3"/>
    <x v="1"/>
    <x v="8"/>
    <x v="1"/>
  </r>
  <r>
    <s v="TX501453"/>
    <x v="5"/>
    <x v="1"/>
    <n v="64"/>
    <n v="128"/>
    <x v="54"/>
    <d v="2025-02-24T00:00:00"/>
    <x v="1"/>
    <x v="1"/>
    <x v="1"/>
    <x v="0"/>
    <x v="3"/>
    <x v="7"/>
    <x v="8"/>
    <x v="1"/>
  </r>
  <r>
    <s v="TX501454"/>
    <x v="8"/>
    <x v="1"/>
    <n v="30.6"/>
    <n v="61.2"/>
    <x v="54"/>
    <d v="2025-02-27T00:00:00"/>
    <x v="1"/>
    <x v="0"/>
    <x v="2"/>
    <x v="0"/>
    <x v="3"/>
    <x v="2"/>
    <x v="8"/>
    <x v="1"/>
  </r>
  <r>
    <s v="TX501455"/>
    <x v="8"/>
    <x v="1"/>
    <n v="21.3"/>
    <n v="42.6"/>
    <x v="54"/>
    <d v="2025-02-25T00:00:00"/>
    <x v="1"/>
    <x v="0"/>
    <x v="1"/>
    <x v="0"/>
    <x v="3"/>
    <x v="3"/>
    <x v="8"/>
    <x v="1"/>
  </r>
  <r>
    <s v="TX501456"/>
    <x v="7"/>
    <x v="0"/>
    <n v="40.799999999999997"/>
    <n v="40.799999999999997"/>
    <x v="54"/>
    <d v="2025-02-26T00:00:00"/>
    <x v="2"/>
    <x v="4"/>
    <x v="0"/>
    <x v="0"/>
    <x v="3"/>
    <x v="1"/>
    <x v="8"/>
    <x v="2"/>
  </r>
  <r>
    <s v="TX501457"/>
    <x v="9"/>
    <x v="12"/>
    <n v="27.7"/>
    <n v="110.8"/>
    <x v="54"/>
    <d v="2025-02-25T00:00:00"/>
    <x v="2"/>
    <x v="0"/>
    <x v="1"/>
    <x v="0"/>
    <x v="3"/>
    <x v="3"/>
    <x v="8"/>
    <x v="2"/>
  </r>
  <r>
    <s v="TX501458"/>
    <x v="6"/>
    <x v="1"/>
    <n v="64.599999999999994"/>
    <n v="129.19999999999999"/>
    <x v="54"/>
    <d v="2025-02-25T00:00:00"/>
    <x v="1"/>
    <x v="0"/>
    <x v="1"/>
    <x v="0"/>
    <x v="3"/>
    <x v="3"/>
    <x v="8"/>
    <x v="1"/>
  </r>
  <r>
    <s v="TX501459"/>
    <x v="6"/>
    <x v="27"/>
    <n v="91.1"/>
    <n v="1457.6"/>
    <x v="54"/>
    <d v="2025-02-25T00:00:00"/>
    <x v="2"/>
    <x v="1"/>
    <x v="2"/>
    <x v="0"/>
    <x v="3"/>
    <x v="3"/>
    <x v="8"/>
    <x v="2"/>
  </r>
  <r>
    <s v="TX501460"/>
    <x v="1"/>
    <x v="0"/>
    <n v="39.5"/>
    <n v="39.5"/>
    <x v="54"/>
    <d v="2025-03-04T00:00:00"/>
    <x v="2"/>
    <x v="0"/>
    <x v="0"/>
    <x v="0"/>
    <x v="3"/>
    <x v="9"/>
    <x v="8"/>
    <x v="2"/>
  </r>
  <r>
    <s v="TX501461"/>
    <x v="9"/>
    <x v="1"/>
    <n v="21.8"/>
    <n v="43.6"/>
    <x v="54"/>
    <d v="2025-02-28T00:00:00"/>
    <x v="1"/>
    <x v="4"/>
    <x v="2"/>
    <x v="0"/>
    <x v="3"/>
    <x v="5"/>
    <x v="8"/>
    <x v="1"/>
  </r>
  <r>
    <s v="TX501462"/>
    <x v="8"/>
    <x v="1"/>
    <n v="51"/>
    <n v="102"/>
    <x v="54"/>
    <d v="2025-02-27T00:00:00"/>
    <x v="1"/>
    <x v="3"/>
    <x v="2"/>
    <x v="0"/>
    <x v="3"/>
    <x v="2"/>
    <x v="8"/>
    <x v="1"/>
  </r>
  <r>
    <s v="TX501463"/>
    <x v="2"/>
    <x v="0"/>
    <n v="92.6"/>
    <n v="92.6"/>
    <x v="54"/>
    <d v="2025-02-27T00:00:00"/>
    <x v="2"/>
    <x v="0"/>
    <x v="2"/>
    <x v="0"/>
    <x v="35"/>
    <x v="2"/>
    <x v="8"/>
    <x v="2"/>
  </r>
  <r>
    <s v="TX501464"/>
    <x v="9"/>
    <x v="1"/>
    <n v="31.1"/>
    <n v="62.2"/>
    <x v="54"/>
    <d v="2025-03-01T00:00:00"/>
    <x v="0"/>
    <x v="1"/>
    <x v="3"/>
    <x v="0"/>
    <x v="23"/>
    <x v="0"/>
    <x v="8"/>
    <x v="0"/>
  </r>
  <r>
    <s v="TX501465"/>
    <x v="5"/>
    <x v="2"/>
    <n v="56.4"/>
    <n v="169.2"/>
    <x v="54"/>
    <d v="2025-02-25T00:00:00"/>
    <x v="0"/>
    <x v="1"/>
    <x v="0"/>
    <x v="0"/>
    <x v="6"/>
    <x v="3"/>
    <x v="8"/>
    <x v="0"/>
  </r>
  <r>
    <s v="TX501466"/>
    <x v="9"/>
    <x v="0"/>
    <n v="41.9"/>
    <n v="41.9"/>
    <x v="54"/>
    <d v="2025-02-24T00:00:00"/>
    <x v="1"/>
    <x v="1"/>
    <x v="0"/>
    <x v="0"/>
    <x v="6"/>
    <x v="7"/>
    <x v="8"/>
    <x v="1"/>
  </r>
  <r>
    <s v="TX501467"/>
    <x v="10"/>
    <x v="3"/>
    <n v="45.9"/>
    <n v="321.3"/>
    <x v="54"/>
    <d v="2025-02-25T00:00:00"/>
    <x v="1"/>
    <x v="3"/>
    <x v="2"/>
    <x v="0"/>
    <x v="8"/>
    <x v="3"/>
    <x v="8"/>
    <x v="1"/>
  </r>
  <r>
    <s v="TX501468"/>
    <x v="14"/>
    <x v="11"/>
    <n v="24.4"/>
    <n v="219.6"/>
    <x v="54"/>
    <d v="2025-02-28T00:00:00"/>
    <x v="1"/>
    <x v="3"/>
    <x v="2"/>
    <x v="0"/>
    <x v="8"/>
    <x v="5"/>
    <x v="8"/>
    <x v="1"/>
  </r>
  <r>
    <s v="TX501469"/>
    <x v="8"/>
    <x v="0"/>
    <n v="18.2"/>
    <n v="18.2"/>
    <x v="54"/>
    <d v="2025-02-25T00:00:00"/>
    <x v="2"/>
    <x v="2"/>
    <x v="2"/>
    <x v="0"/>
    <x v="8"/>
    <x v="3"/>
    <x v="8"/>
    <x v="2"/>
  </r>
  <r>
    <s v="TX501470"/>
    <x v="8"/>
    <x v="12"/>
    <n v="51.2"/>
    <n v="204.8"/>
    <x v="54"/>
    <d v="2025-02-25T00:00:00"/>
    <x v="2"/>
    <x v="0"/>
    <x v="0"/>
    <x v="0"/>
    <x v="8"/>
    <x v="3"/>
    <x v="8"/>
    <x v="2"/>
  </r>
  <r>
    <s v="TX501471"/>
    <x v="6"/>
    <x v="0"/>
    <n v="59.7"/>
    <n v="59.7"/>
    <x v="54"/>
    <d v="2025-02-27T00:00:00"/>
    <x v="1"/>
    <x v="0"/>
    <x v="2"/>
    <x v="0"/>
    <x v="8"/>
    <x v="2"/>
    <x v="8"/>
    <x v="1"/>
  </r>
  <r>
    <s v="TX501472"/>
    <x v="4"/>
    <x v="1"/>
    <n v="33.6"/>
    <n v="67.2"/>
    <x v="54"/>
    <d v="2025-02-26T00:00:00"/>
    <x v="2"/>
    <x v="0"/>
    <x v="0"/>
    <x v="0"/>
    <x v="17"/>
    <x v="1"/>
    <x v="8"/>
    <x v="2"/>
  </r>
  <r>
    <s v="TX501473"/>
    <x v="12"/>
    <x v="0"/>
    <n v="90.4"/>
    <n v="90.4"/>
    <x v="54"/>
    <d v="2025-02-28T00:00:00"/>
    <x v="1"/>
    <x v="1"/>
    <x v="2"/>
    <x v="0"/>
    <x v="10"/>
    <x v="5"/>
    <x v="8"/>
    <x v="1"/>
  </r>
  <r>
    <s v="TX501474"/>
    <x v="11"/>
    <x v="2"/>
    <n v="70.3"/>
    <n v="210.89999999999998"/>
    <x v="54"/>
    <d v="2025-02-24T00:00:00"/>
    <x v="1"/>
    <x v="1"/>
    <x v="2"/>
    <x v="0"/>
    <x v="11"/>
    <x v="7"/>
    <x v="8"/>
    <x v="1"/>
  </r>
  <r>
    <s v="TX501475"/>
    <x v="4"/>
    <x v="1"/>
    <n v="20.5"/>
    <n v="41"/>
    <x v="54"/>
    <d v="2025-02-27T00:00:00"/>
    <x v="2"/>
    <x v="0"/>
    <x v="1"/>
    <x v="0"/>
    <x v="11"/>
    <x v="2"/>
    <x v="8"/>
    <x v="2"/>
  </r>
  <r>
    <s v="TX501476"/>
    <x v="5"/>
    <x v="5"/>
    <n v="37.6"/>
    <n v="413.6"/>
    <x v="54"/>
    <d v="2025-02-25T00:00:00"/>
    <x v="1"/>
    <x v="0"/>
    <x v="0"/>
    <x v="0"/>
    <x v="38"/>
    <x v="3"/>
    <x v="8"/>
    <x v="1"/>
  </r>
  <r>
    <s v="TX501477"/>
    <x v="5"/>
    <x v="12"/>
    <n v="61.5"/>
    <n v="246"/>
    <x v="54"/>
    <d v="2025-03-03T00:00:00"/>
    <x v="2"/>
    <x v="1"/>
    <x v="4"/>
    <x v="0"/>
    <x v="13"/>
    <x v="6"/>
    <x v="8"/>
    <x v="2"/>
  </r>
  <r>
    <s v="TX501478"/>
    <x v="9"/>
    <x v="0"/>
    <n v="33.5"/>
    <n v="33.5"/>
    <x v="55"/>
    <d v="2025-03-01T00:00:00"/>
    <x v="1"/>
    <x v="4"/>
    <x v="1"/>
    <x v="0"/>
    <x v="21"/>
    <x v="5"/>
    <x v="8"/>
    <x v="1"/>
  </r>
  <r>
    <s v="TX501479"/>
    <x v="4"/>
    <x v="2"/>
    <n v="29.3"/>
    <n v="87.9"/>
    <x v="55"/>
    <d v="2025-02-27T00:00:00"/>
    <x v="2"/>
    <x v="1"/>
    <x v="2"/>
    <x v="0"/>
    <x v="1"/>
    <x v="1"/>
    <x v="8"/>
    <x v="2"/>
  </r>
  <r>
    <s v="TX501480"/>
    <x v="2"/>
    <x v="1"/>
    <n v="125.9"/>
    <n v="251.8"/>
    <x v="55"/>
    <d v="2025-03-02T00:00:00"/>
    <x v="2"/>
    <x v="4"/>
    <x v="1"/>
    <x v="0"/>
    <x v="1"/>
    <x v="0"/>
    <x v="8"/>
    <x v="2"/>
  </r>
  <r>
    <s v="TX501481"/>
    <x v="5"/>
    <x v="9"/>
    <n v="29.3"/>
    <n v="146.5"/>
    <x v="55"/>
    <d v="2025-02-25T00:00:00"/>
    <x v="1"/>
    <x v="2"/>
    <x v="0"/>
    <x v="0"/>
    <x v="44"/>
    <x v="7"/>
    <x v="8"/>
    <x v="1"/>
  </r>
  <r>
    <s v="TX501482"/>
    <x v="9"/>
    <x v="0"/>
    <n v="37.799999999999997"/>
    <n v="37.799999999999997"/>
    <x v="55"/>
    <d v="2025-02-28T00:00:00"/>
    <x v="2"/>
    <x v="0"/>
    <x v="2"/>
    <x v="0"/>
    <x v="3"/>
    <x v="2"/>
    <x v="8"/>
    <x v="2"/>
  </r>
  <r>
    <s v="TX501483"/>
    <x v="0"/>
    <x v="12"/>
    <n v="31.7"/>
    <n v="126.8"/>
    <x v="55"/>
    <d v="2025-02-26T00:00:00"/>
    <x v="1"/>
    <x v="2"/>
    <x v="2"/>
    <x v="0"/>
    <x v="3"/>
    <x v="3"/>
    <x v="8"/>
    <x v="1"/>
  </r>
  <r>
    <s v="TX501484"/>
    <x v="8"/>
    <x v="9"/>
    <n v="26.3"/>
    <n v="131.5"/>
    <x v="55"/>
    <d v="2025-02-26T00:00:00"/>
    <x v="2"/>
    <x v="3"/>
    <x v="2"/>
    <x v="0"/>
    <x v="3"/>
    <x v="3"/>
    <x v="8"/>
    <x v="2"/>
  </r>
  <r>
    <s v="TX501485"/>
    <x v="8"/>
    <x v="2"/>
    <n v="23.1"/>
    <n v="69.300000000000011"/>
    <x v="55"/>
    <d v="2025-02-26T00:00:00"/>
    <x v="3"/>
    <x v="2"/>
    <x v="1"/>
    <x v="0"/>
    <x v="3"/>
    <x v="3"/>
    <x v="8"/>
    <x v="3"/>
  </r>
  <r>
    <s v="TX501486"/>
    <x v="4"/>
    <x v="0"/>
    <n v="22.3"/>
    <n v="22.3"/>
    <x v="55"/>
    <d v="2025-02-27T00:00:00"/>
    <x v="2"/>
    <x v="2"/>
    <x v="0"/>
    <x v="0"/>
    <x v="3"/>
    <x v="1"/>
    <x v="8"/>
    <x v="2"/>
  </r>
  <r>
    <s v="TX501487"/>
    <x v="12"/>
    <x v="1"/>
    <n v="99.5"/>
    <n v="199"/>
    <x v="55"/>
    <d v="2025-02-27T00:00:00"/>
    <x v="2"/>
    <x v="2"/>
    <x v="0"/>
    <x v="0"/>
    <x v="3"/>
    <x v="1"/>
    <x v="8"/>
    <x v="2"/>
  </r>
  <r>
    <s v="TX501488"/>
    <x v="12"/>
    <x v="12"/>
    <n v="47.4"/>
    <n v="189.6"/>
    <x v="55"/>
    <d v="2025-02-28T00:00:00"/>
    <x v="2"/>
    <x v="1"/>
    <x v="0"/>
    <x v="0"/>
    <x v="3"/>
    <x v="2"/>
    <x v="8"/>
    <x v="2"/>
  </r>
  <r>
    <s v="TX501489"/>
    <x v="0"/>
    <x v="5"/>
    <n v="37.5"/>
    <n v="412.5"/>
    <x v="55"/>
    <d v="2025-02-27T00:00:00"/>
    <x v="2"/>
    <x v="0"/>
    <x v="3"/>
    <x v="0"/>
    <x v="3"/>
    <x v="1"/>
    <x v="8"/>
    <x v="2"/>
  </r>
  <r>
    <s v="TX501490"/>
    <x v="10"/>
    <x v="0"/>
    <n v="45.1"/>
    <n v="45.1"/>
    <x v="55"/>
    <d v="2025-03-02T00:00:00"/>
    <x v="1"/>
    <x v="3"/>
    <x v="2"/>
    <x v="0"/>
    <x v="24"/>
    <x v="0"/>
    <x v="8"/>
    <x v="1"/>
  </r>
  <r>
    <s v="TX501491"/>
    <x v="5"/>
    <x v="7"/>
    <n v="34.4"/>
    <n v="344"/>
    <x v="55"/>
    <d v="2025-02-28T00:00:00"/>
    <x v="1"/>
    <x v="2"/>
    <x v="0"/>
    <x v="0"/>
    <x v="16"/>
    <x v="2"/>
    <x v="8"/>
    <x v="1"/>
  </r>
  <r>
    <s v="TX501492"/>
    <x v="4"/>
    <x v="1"/>
    <n v="38"/>
    <n v="76"/>
    <x v="55"/>
    <d v="2025-02-27T00:00:00"/>
    <x v="2"/>
    <x v="1"/>
    <x v="0"/>
    <x v="0"/>
    <x v="5"/>
    <x v="1"/>
    <x v="8"/>
    <x v="2"/>
  </r>
  <r>
    <s v="TX501493"/>
    <x v="3"/>
    <x v="21"/>
    <n v="32.4"/>
    <n v="453.59999999999997"/>
    <x v="55"/>
    <d v="2025-02-28T00:00:00"/>
    <x v="1"/>
    <x v="4"/>
    <x v="0"/>
    <x v="0"/>
    <x v="6"/>
    <x v="2"/>
    <x v="8"/>
    <x v="1"/>
  </r>
  <r>
    <s v="TX501494"/>
    <x v="6"/>
    <x v="2"/>
    <n v="40.9"/>
    <n v="122.69999999999999"/>
    <x v="55"/>
    <d v="2025-02-25T00:00:00"/>
    <x v="0"/>
    <x v="1"/>
    <x v="0"/>
    <x v="0"/>
    <x v="8"/>
    <x v="7"/>
    <x v="8"/>
    <x v="0"/>
  </r>
  <r>
    <s v="TX501495"/>
    <x v="7"/>
    <x v="3"/>
    <n v="76.2"/>
    <n v="533.4"/>
    <x v="55"/>
    <d v="2025-02-27T00:00:00"/>
    <x v="2"/>
    <x v="2"/>
    <x v="1"/>
    <x v="0"/>
    <x v="8"/>
    <x v="1"/>
    <x v="8"/>
    <x v="2"/>
  </r>
  <r>
    <s v="TX501496"/>
    <x v="2"/>
    <x v="0"/>
    <n v="85.6"/>
    <n v="85.6"/>
    <x v="55"/>
    <d v="2025-02-27T00:00:00"/>
    <x v="1"/>
    <x v="2"/>
    <x v="0"/>
    <x v="0"/>
    <x v="8"/>
    <x v="1"/>
    <x v="8"/>
    <x v="1"/>
  </r>
  <r>
    <s v="TX501497"/>
    <x v="4"/>
    <x v="12"/>
    <n v="25"/>
    <n v="100"/>
    <x v="55"/>
    <d v="2025-02-27T00:00:00"/>
    <x v="2"/>
    <x v="2"/>
    <x v="2"/>
    <x v="0"/>
    <x v="8"/>
    <x v="1"/>
    <x v="8"/>
    <x v="2"/>
  </r>
  <r>
    <s v="TX501498"/>
    <x v="2"/>
    <x v="9"/>
    <n v="150.69999999999999"/>
    <n v="753.5"/>
    <x v="55"/>
    <d v="2025-02-26T00:00:00"/>
    <x v="0"/>
    <x v="0"/>
    <x v="2"/>
    <x v="0"/>
    <x v="8"/>
    <x v="3"/>
    <x v="8"/>
    <x v="0"/>
  </r>
  <r>
    <s v="TX501499"/>
    <x v="8"/>
    <x v="0"/>
    <n v="19.600000000000001"/>
    <n v="19.600000000000001"/>
    <x v="55"/>
    <d v="2025-02-26T00:00:00"/>
    <x v="1"/>
    <x v="1"/>
    <x v="4"/>
    <x v="0"/>
    <x v="8"/>
    <x v="3"/>
    <x v="8"/>
    <x v="1"/>
  </r>
  <r>
    <s v="TX501500"/>
    <x v="13"/>
    <x v="1"/>
    <n v="37.5"/>
    <n v="75"/>
    <x v="55"/>
    <d v="2025-02-28T00:00:00"/>
    <x v="2"/>
    <x v="1"/>
    <x v="2"/>
    <x v="0"/>
    <x v="17"/>
    <x v="2"/>
    <x v="8"/>
    <x v="2"/>
  </r>
  <r>
    <s v="TX501501"/>
    <x v="9"/>
    <x v="2"/>
    <n v="51.9"/>
    <n v="155.69999999999999"/>
    <x v="55"/>
    <d v="2025-03-03T00:00:00"/>
    <x v="2"/>
    <x v="0"/>
    <x v="4"/>
    <x v="0"/>
    <x v="11"/>
    <x v="4"/>
    <x v="8"/>
    <x v="2"/>
  </r>
  <r>
    <s v="TX501502"/>
    <x v="1"/>
    <x v="1"/>
    <n v="30.9"/>
    <n v="61.8"/>
    <x v="55"/>
    <d v="2025-02-27T00:00:00"/>
    <x v="2"/>
    <x v="1"/>
    <x v="0"/>
    <x v="0"/>
    <x v="18"/>
    <x v="1"/>
    <x v="8"/>
    <x v="2"/>
  </r>
  <r>
    <s v="TX501503"/>
    <x v="4"/>
    <x v="2"/>
    <n v="21.2"/>
    <n v="63.599999999999994"/>
    <x v="55"/>
    <d v="2025-02-28T00:00:00"/>
    <x v="2"/>
    <x v="1"/>
    <x v="0"/>
    <x v="0"/>
    <x v="19"/>
    <x v="2"/>
    <x v="8"/>
    <x v="2"/>
  </r>
  <r>
    <s v="TX501504"/>
    <x v="13"/>
    <x v="14"/>
    <n v="17.5"/>
    <n v="297.5"/>
    <x v="55"/>
    <d v="2025-02-26T00:00:00"/>
    <x v="1"/>
    <x v="1"/>
    <x v="1"/>
    <x v="0"/>
    <x v="13"/>
    <x v="3"/>
    <x v="8"/>
    <x v="1"/>
  </r>
  <r>
    <s v="TX501505"/>
    <x v="12"/>
    <x v="1"/>
    <n v="53.8"/>
    <n v="107.6"/>
    <x v="55"/>
    <d v="2025-03-02T00:00:00"/>
    <x v="2"/>
    <x v="0"/>
    <x v="2"/>
    <x v="0"/>
    <x v="21"/>
    <x v="0"/>
    <x v="8"/>
    <x v="2"/>
  </r>
  <r>
    <s v="TX501506"/>
    <x v="19"/>
    <x v="1"/>
    <n v="17"/>
    <n v="34"/>
    <x v="55"/>
    <d v="2025-02-26T00:00:00"/>
    <x v="1"/>
    <x v="3"/>
    <x v="0"/>
    <x v="0"/>
    <x v="21"/>
    <x v="3"/>
    <x v="8"/>
    <x v="1"/>
  </r>
  <r>
    <s v="TX501507"/>
    <x v="6"/>
    <x v="0"/>
    <n v="103.2"/>
    <n v="103.2"/>
    <x v="55"/>
    <d v="2025-03-05T00:00:00"/>
    <x v="1"/>
    <x v="2"/>
    <x v="1"/>
    <x v="0"/>
    <x v="1"/>
    <x v="9"/>
    <x v="8"/>
    <x v="1"/>
  </r>
  <r>
    <s v="TX501508"/>
    <x v="6"/>
    <x v="12"/>
    <n v="70.3"/>
    <n v="281.2"/>
    <x v="55"/>
    <d v="2025-02-26T00:00:00"/>
    <x v="1"/>
    <x v="0"/>
    <x v="0"/>
    <x v="0"/>
    <x v="3"/>
    <x v="3"/>
    <x v="8"/>
    <x v="1"/>
  </r>
  <r>
    <s v="TX501509"/>
    <x v="2"/>
    <x v="1"/>
    <n v="73.8"/>
    <n v="147.6"/>
    <x v="55"/>
    <d v="2025-02-25T00:00:00"/>
    <x v="1"/>
    <x v="3"/>
    <x v="2"/>
    <x v="0"/>
    <x v="3"/>
    <x v="7"/>
    <x v="8"/>
    <x v="1"/>
  </r>
  <r>
    <s v="TX501510"/>
    <x v="1"/>
    <x v="4"/>
    <n v="67.7"/>
    <n v="812.40000000000009"/>
    <x v="55"/>
    <d v="2025-03-01T00:00:00"/>
    <x v="1"/>
    <x v="1"/>
    <x v="1"/>
    <x v="0"/>
    <x v="3"/>
    <x v="5"/>
    <x v="8"/>
    <x v="1"/>
  </r>
  <r>
    <s v="TX501511"/>
    <x v="13"/>
    <x v="3"/>
    <n v="43.8"/>
    <n v="306.59999999999997"/>
    <x v="55"/>
    <d v="2025-02-27T00:00:00"/>
    <x v="1"/>
    <x v="1"/>
    <x v="0"/>
    <x v="0"/>
    <x v="3"/>
    <x v="1"/>
    <x v="8"/>
    <x v="1"/>
  </r>
  <r>
    <s v="TX501512"/>
    <x v="17"/>
    <x v="13"/>
    <n v="71.900000000000006"/>
    <n v="431.40000000000003"/>
    <x v="55"/>
    <d v="2025-02-26T00:00:00"/>
    <x v="2"/>
    <x v="2"/>
    <x v="0"/>
    <x v="0"/>
    <x v="3"/>
    <x v="3"/>
    <x v="8"/>
    <x v="2"/>
  </r>
  <r>
    <s v="TX501513"/>
    <x v="8"/>
    <x v="1"/>
    <n v="26.3"/>
    <n v="52.6"/>
    <x v="56"/>
    <d v="2025-02-28T00:00:00"/>
    <x v="2"/>
    <x v="0"/>
    <x v="1"/>
    <x v="0"/>
    <x v="3"/>
    <x v="1"/>
    <x v="8"/>
    <x v="2"/>
  </r>
  <r>
    <s v="TX501514"/>
    <x v="6"/>
    <x v="12"/>
    <n v="52.6"/>
    <n v="210.4"/>
    <x v="56"/>
    <d v="2025-02-28T00:00:00"/>
    <x v="2"/>
    <x v="2"/>
    <x v="1"/>
    <x v="0"/>
    <x v="3"/>
    <x v="1"/>
    <x v="8"/>
    <x v="2"/>
  </r>
  <r>
    <s v="TX501515"/>
    <x v="10"/>
    <x v="0"/>
    <n v="32.700000000000003"/>
    <n v="32.700000000000003"/>
    <x v="56"/>
    <d v="2025-03-05T00:00:00"/>
    <x v="2"/>
    <x v="0"/>
    <x v="2"/>
    <x v="0"/>
    <x v="3"/>
    <x v="6"/>
    <x v="8"/>
    <x v="2"/>
  </r>
  <r>
    <s v="TX501516"/>
    <x v="5"/>
    <x v="12"/>
    <n v="38.9"/>
    <n v="155.6"/>
    <x v="56"/>
    <d v="2025-02-27T00:00:00"/>
    <x v="2"/>
    <x v="0"/>
    <x v="0"/>
    <x v="0"/>
    <x v="3"/>
    <x v="3"/>
    <x v="8"/>
    <x v="2"/>
  </r>
  <r>
    <s v="TX501517"/>
    <x v="9"/>
    <x v="9"/>
    <n v="35"/>
    <n v="175"/>
    <x v="56"/>
    <d v="2025-02-28T00:00:00"/>
    <x v="1"/>
    <x v="0"/>
    <x v="0"/>
    <x v="0"/>
    <x v="3"/>
    <x v="1"/>
    <x v="8"/>
    <x v="1"/>
  </r>
  <r>
    <s v="TX501518"/>
    <x v="2"/>
    <x v="1"/>
    <n v="121"/>
    <n v="242"/>
    <x v="56"/>
    <d v="2025-02-27T00:00:00"/>
    <x v="2"/>
    <x v="1"/>
    <x v="1"/>
    <x v="0"/>
    <x v="3"/>
    <x v="3"/>
    <x v="8"/>
    <x v="2"/>
  </r>
  <r>
    <s v="TX501519"/>
    <x v="6"/>
    <x v="2"/>
    <n v="65.099999999999994"/>
    <n v="195.29999999999998"/>
    <x v="56"/>
    <d v="2025-03-02T00:00:00"/>
    <x v="1"/>
    <x v="2"/>
    <x v="0"/>
    <x v="0"/>
    <x v="36"/>
    <x v="5"/>
    <x v="8"/>
    <x v="1"/>
  </r>
  <r>
    <s v="TX501520"/>
    <x v="1"/>
    <x v="38"/>
    <n v="63.8"/>
    <n v="1339.8"/>
    <x v="56"/>
    <d v="2025-02-28T00:00:00"/>
    <x v="2"/>
    <x v="0"/>
    <x v="0"/>
    <x v="0"/>
    <x v="8"/>
    <x v="1"/>
    <x v="8"/>
    <x v="2"/>
  </r>
  <r>
    <s v="TX501521"/>
    <x v="7"/>
    <x v="0"/>
    <n v="77.7"/>
    <n v="77.7"/>
    <x v="56"/>
    <d v="2025-02-28T00:00:00"/>
    <x v="1"/>
    <x v="0"/>
    <x v="0"/>
    <x v="0"/>
    <x v="8"/>
    <x v="1"/>
    <x v="8"/>
    <x v="1"/>
  </r>
  <r>
    <s v="TX501522"/>
    <x v="5"/>
    <x v="12"/>
    <n v="60.3"/>
    <n v="241.2"/>
    <x v="56"/>
    <d v="2025-02-26T00:00:00"/>
    <x v="1"/>
    <x v="0"/>
    <x v="2"/>
    <x v="0"/>
    <x v="8"/>
    <x v="7"/>
    <x v="8"/>
    <x v="1"/>
  </r>
  <r>
    <s v="TX501523"/>
    <x v="5"/>
    <x v="1"/>
    <n v="124.1"/>
    <n v="248.2"/>
    <x v="56"/>
    <d v="2025-03-01T00:00:00"/>
    <x v="2"/>
    <x v="0"/>
    <x v="2"/>
    <x v="0"/>
    <x v="8"/>
    <x v="2"/>
    <x v="8"/>
    <x v="2"/>
  </r>
  <r>
    <s v="TX501524"/>
    <x v="16"/>
    <x v="3"/>
    <n v="66"/>
    <n v="462"/>
    <x v="56"/>
    <d v="2025-02-26T00:00:00"/>
    <x v="0"/>
    <x v="3"/>
    <x v="0"/>
    <x v="0"/>
    <x v="17"/>
    <x v="7"/>
    <x v="8"/>
    <x v="0"/>
  </r>
  <r>
    <s v="TX501525"/>
    <x v="2"/>
    <x v="42"/>
    <n v="118.2"/>
    <n v="7446.6"/>
    <x v="56"/>
    <d v="2025-03-03T00:00:00"/>
    <x v="0"/>
    <x v="0"/>
    <x v="0"/>
    <x v="0"/>
    <x v="17"/>
    <x v="0"/>
    <x v="8"/>
    <x v="0"/>
  </r>
  <r>
    <s v="TX501526"/>
    <x v="5"/>
    <x v="9"/>
    <n v="64.3"/>
    <n v="321.5"/>
    <x v="56"/>
    <d v="2025-02-27T00:00:00"/>
    <x v="1"/>
    <x v="4"/>
    <x v="4"/>
    <x v="0"/>
    <x v="26"/>
    <x v="3"/>
    <x v="8"/>
    <x v="1"/>
  </r>
  <r>
    <s v="TX501527"/>
    <x v="1"/>
    <x v="1"/>
    <n v="54.8"/>
    <n v="109.6"/>
    <x v="56"/>
    <d v="2025-02-26T00:00:00"/>
    <x v="1"/>
    <x v="0"/>
    <x v="1"/>
    <x v="0"/>
    <x v="26"/>
    <x v="7"/>
    <x v="8"/>
    <x v="1"/>
  </r>
  <r>
    <s v="TX501528"/>
    <x v="7"/>
    <x v="1"/>
    <n v="78.599999999999994"/>
    <n v="157.19999999999999"/>
    <x v="56"/>
    <d v="2025-02-27T00:00:00"/>
    <x v="1"/>
    <x v="0"/>
    <x v="2"/>
    <x v="0"/>
    <x v="9"/>
    <x v="3"/>
    <x v="8"/>
    <x v="1"/>
  </r>
  <r>
    <s v="TX501529"/>
    <x v="2"/>
    <x v="9"/>
    <n v="158.5"/>
    <n v="792.5"/>
    <x v="56"/>
    <d v="2025-02-28T00:00:00"/>
    <x v="0"/>
    <x v="2"/>
    <x v="2"/>
    <x v="0"/>
    <x v="9"/>
    <x v="1"/>
    <x v="8"/>
    <x v="0"/>
  </r>
  <r>
    <s v="TX501530"/>
    <x v="4"/>
    <x v="7"/>
    <n v="23.5"/>
    <n v="235"/>
    <x v="56"/>
    <d v="2025-03-01T00:00:00"/>
    <x v="1"/>
    <x v="0"/>
    <x v="4"/>
    <x v="0"/>
    <x v="10"/>
    <x v="2"/>
    <x v="8"/>
    <x v="1"/>
  </r>
  <r>
    <s v="TX501531"/>
    <x v="5"/>
    <x v="1"/>
    <n v="32.1"/>
    <n v="64.2"/>
    <x v="56"/>
    <d v="2025-02-28T00:00:00"/>
    <x v="0"/>
    <x v="3"/>
    <x v="0"/>
    <x v="0"/>
    <x v="10"/>
    <x v="1"/>
    <x v="8"/>
    <x v="0"/>
  </r>
  <r>
    <s v="TX501532"/>
    <x v="17"/>
    <x v="12"/>
    <n v="71.900000000000006"/>
    <n v="287.60000000000002"/>
    <x v="56"/>
    <d v="2025-02-26T00:00:00"/>
    <x v="1"/>
    <x v="2"/>
    <x v="0"/>
    <x v="0"/>
    <x v="19"/>
    <x v="7"/>
    <x v="8"/>
    <x v="1"/>
  </r>
  <r>
    <s v="TX501533"/>
    <x v="4"/>
    <x v="13"/>
    <n v="22.3"/>
    <n v="133.80000000000001"/>
    <x v="56"/>
    <d v="2025-02-27T00:00:00"/>
    <x v="0"/>
    <x v="3"/>
    <x v="2"/>
    <x v="0"/>
    <x v="13"/>
    <x v="3"/>
    <x v="8"/>
    <x v="0"/>
  </r>
  <r>
    <s v="TX501534"/>
    <x v="11"/>
    <x v="1"/>
    <n v="29.5"/>
    <n v="59"/>
    <x v="56"/>
    <d v="2025-02-27T00:00:00"/>
    <x v="2"/>
    <x v="0"/>
    <x v="2"/>
    <x v="0"/>
    <x v="13"/>
    <x v="3"/>
    <x v="8"/>
    <x v="2"/>
  </r>
  <r>
    <s v="TX501535"/>
    <x v="6"/>
    <x v="12"/>
    <n v="41.9"/>
    <n v="167.6"/>
    <x v="56"/>
    <d v="2025-03-02T00:00:00"/>
    <x v="2"/>
    <x v="0"/>
    <x v="1"/>
    <x v="0"/>
    <x v="21"/>
    <x v="5"/>
    <x v="8"/>
    <x v="2"/>
  </r>
  <r>
    <s v="TX501536"/>
    <x v="6"/>
    <x v="2"/>
    <n v="107.8"/>
    <n v="323.39999999999998"/>
    <x v="56"/>
    <d v="2025-02-27T00:00:00"/>
    <x v="1"/>
    <x v="1"/>
    <x v="2"/>
    <x v="0"/>
    <x v="46"/>
    <x v="3"/>
    <x v="8"/>
    <x v="1"/>
  </r>
  <r>
    <s v="TX501537"/>
    <x v="4"/>
    <x v="9"/>
    <n v="18.100000000000001"/>
    <n v="90.5"/>
    <x v="56"/>
    <d v="2025-03-01T00:00:00"/>
    <x v="1"/>
    <x v="0"/>
    <x v="2"/>
    <x v="0"/>
    <x v="2"/>
    <x v="2"/>
    <x v="8"/>
    <x v="1"/>
  </r>
  <r>
    <s v="TX501538"/>
    <x v="12"/>
    <x v="11"/>
    <n v="79.8"/>
    <n v="718.19999999999993"/>
    <x v="56"/>
    <d v="2025-02-27T00:00:00"/>
    <x v="2"/>
    <x v="1"/>
    <x v="1"/>
    <x v="0"/>
    <x v="22"/>
    <x v="3"/>
    <x v="8"/>
    <x v="2"/>
  </r>
  <r>
    <s v="TX501539"/>
    <x v="0"/>
    <x v="2"/>
    <n v="22.3"/>
    <n v="66.900000000000006"/>
    <x v="56"/>
    <d v="2025-03-01T00:00:00"/>
    <x v="2"/>
    <x v="0"/>
    <x v="2"/>
    <x v="0"/>
    <x v="22"/>
    <x v="2"/>
    <x v="8"/>
    <x v="2"/>
  </r>
  <r>
    <s v="TX501540"/>
    <x v="8"/>
    <x v="0"/>
    <n v="22.9"/>
    <n v="22.9"/>
    <x v="56"/>
    <d v="2025-02-26T00:00:00"/>
    <x v="2"/>
    <x v="1"/>
    <x v="0"/>
    <x v="0"/>
    <x v="22"/>
    <x v="7"/>
    <x v="8"/>
    <x v="2"/>
  </r>
  <r>
    <s v="TX501541"/>
    <x v="0"/>
    <x v="2"/>
    <n v="16.2"/>
    <n v="48.599999999999994"/>
    <x v="57"/>
    <d v="2025-02-27T00:00:00"/>
    <x v="1"/>
    <x v="4"/>
    <x v="2"/>
    <x v="0"/>
    <x v="3"/>
    <x v="7"/>
    <x v="8"/>
    <x v="1"/>
  </r>
  <r>
    <s v="TX501542"/>
    <x v="10"/>
    <x v="12"/>
    <n v="59.5"/>
    <n v="238"/>
    <x v="57"/>
    <d v="2025-02-28T00:00:00"/>
    <x v="1"/>
    <x v="1"/>
    <x v="2"/>
    <x v="0"/>
    <x v="3"/>
    <x v="3"/>
    <x v="8"/>
    <x v="1"/>
  </r>
  <r>
    <s v="TX501543"/>
    <x v="18"/>
    <x v="9"/>
    <n v="26.2"/>
    <n v="131"/>
    <x v="57"/>
    <d v="2025-03-02T00:00:00"/>
    <x v="1"/>
    <x v="3"/>
    <x v="4"/>
    <x v="0"/>
    <x v="3"/>
    <x v="2"/>
    <x v="8"/>
    <x v="1"/>
  </r>
  <r>
    <s v="TX501544"/>
    <x v="3"/>
    <x v="0"/>
    <n v="44.2"/>
    <n v="44.2"/>
    <x v="57"/>
    <d v="2025-03-02T00:00:00"/>
    <x v="2"/>
    <x v="1"/>
    <x v="0"/>
    <x v="0"/>
    <x v="3"/>
    <x v="2"/>
    <x v="8"/>
    <x v="2"/>
  </r>
  <r>
    <s v="TX501545"/>
    <x v="9"/>
    <x v="1"/>
    <n v="59.2"/>
    <n v="118.4"/>
    <x v="57"/>
    <d v="2025-02-27T00:00:00"/>
    <x v="2"/>
    <x v="1"/>
    <x v="4"/>
    <x v="0"/>
    <x v="3"/>
    <x v="7"/>
    <x v="8"/>
    <x v="2"/>
  </r>
  <r>
    <s v="TX501546"/>
    <x v="15"/>
    <x v="12"/>
    <n v="41.5"/>
    <n v="166"/>
    <x v="57"/>
    <d v="2025-03-01T00:00:00"/>
    <x v="2"/>
    <x v="0"/>
    <x v="0"/>
    <x v="0"/>
    <x v="16"/>
    <x v="1"/>
    <x v="8"/>
    <x v="2"/>
  </r>
  <r>
    <s v="TX501547"/>
    <x v="6"/>
    <x v="4"/>
    <n v="67.099999999999994"/>
    <n v="805.19999999999993"/>
    <x v="57"/>
    <d v="2025-03-13T00:00:00"/>
    <x v="2"/>
    <x v="0"/>
    <x v="2"/>
    <x v="0"/>
    <x v="23"/>
    <x v="12"/>
    <x v="8"/>
    <x v="2"/>
  </r>
  <r>
    <s v="TX501548"/>
    <x v="8"/>
    <x v="1"/>
    <n v="28.7"/>
    <n v="57.4"/>
    <x v="57"/>
    <d v="2025-03-03T00:00:00"/>
    <x v="2"/>
    <x v="1"/>
    <x v="0"/>
    <x v="0"/>
    <x v="6"/>
    <x v="5"/>
    <x v="8"/>
    <x v="2"/>
  </r>
  <r>
    <s v="TX501549"/>
    <x v="2"/>
    <x v="12"/>
    <n v="132.1"/>
    <n v="528.4"/>
    <x v="57"/>
    <d v="2025-02-28T00:00:00"/>
    <x v="2"/>
    <x v="0"/>
    <x v="1"/>
    <x v="0"/>
    <x v="6"/>
    <x v="3"/>
    <x v="8"/>
    <x v="2"/>
  </r>
  <r>
    <s v="TX501550"/>
    <x v="18"/>
    <x v="1"/>
    <n v="47"/>
    <n v="94"/>
    <x v="57"/>
    <d v="2025-03-01T00:00:00"/>
    <x v="1"/>
    <x v="4"/>
    <x v="0"/>
    <x v="0"/>
    <x v="8"/>
    <x v="1"/>
    <x v="8"/>
    <x v="1"/>
  </r>
  <r>
    <s v="TX501551"/>
    <x v="8"/>
    <x v="1"/>
    <n v="41.6"/>
    <n v="83.2"/>
    <x v="57"/>
    <d v="2025-03-03T00:00:00"/>
    <x v="1"/>
    <x v="1"/>
    <x v="2"/>
    <x v="0"/>
    <x v="8"/>
    <x v="5"/>
    <x v="8"/>
    <x v="1"/>
  </r>
  <r>
    <s v="TX501552"/>
    <x v="8"/>
    <x v="43"/>
    <n v="17.3"/>
    <n v="657.4"/>
    <x v="57"/>
    <d v="2025-03-01T00:00:00"/>
    <x v="1"/>
    <x v="2"/>
    <x v="2"/>
    <x v="0"/>
    <x v="8"/>
    <x v="1"/>
    <x v="8"/>
    <x v="1"/>
  </r>
  <r>
    <s v="TX501553"/>
    <x v="13"/>
    <x v="2"/>
    <n v="41.8"/>
    <n v="125.39999999999999"/>
    <x v="57"/>
    <d v="2025-03-02T00:00:00"/>
    <x v="1"/>
    <x v="0"/>
    <x v="2"/>
    <x v="0"/>
    <x v="8"/>
    <x v="2"/>
    <x v="8"/>
    <x v="1"/>
  </r>
  <r>
    <s v="TX501554"/>
    <x v="10"/>
    <x v="0"/>
    <n v="24"/>
    <n v="24"/>
    <x v="57"/>
    <d v="2025-02-28T00:00:00"/>
    <x v="2"/>
    <x v="0"/>
    <x v="0"/>
    <x v="0"/>
    <x v="17"/>
    <x v="3"/>
    <x v="8"/>
    <x v="2"/>
  </r>
  <r>
    <s v="TX501555"/>
    <x v="14"/>
    <x v="11"/>
    <n v="18.5"/>
    <n v="166.5"/>
    <x v="57"/>
    <d v="2025-03-01T00:00:00"/>
    <x v="2"/>
    <x v="0"/>
    <x v="0"/>
    <x v="0"/>
    <x v="9"/>
    <x v="1"/>
    <x v="8"/>
    <x v="2"/>
  </r>
  <r>
    <s v="TX501556"/>
    <x v="3"/>
    <x v="4"/>
    <n v="66.7"/>
    <n v="800.40000000000009"/>
    <x v="57"/>
    <d v="2025-03-02T00:00:00"/>
    <x v="0"/>
    <x v="0"/>
    <x v="2"/>
    <x v="0"/>
    <x v="11"/>
    <x v="2"/>
    <x v="8"/>
    <x v="0"/>
  </r>
  <r>
    <s v="TX501557"/>
    <x v="1"/>
    <x v="12"/>
    <n v="33.1"/>
    <n v="132.4"/>
    <x v="57"/>
    <d v="2025-03-04T00:00:00"/>
    <x v="1"/>
    <x v="3"/>
    <x v="0"/>
    <x v="0"/>
    <x v="11"/>
    <x v="0"/>
    <x v="8"/>
    <x v="1"/>
  </r>
  <r>
    <s v="TX501558"/>
    <x v="19"/>
    <x v="11"/>
    <n v="42.1"/>
    <n v="378.90000000000003"/>
    <x v="57"/>
    <d v="2025-03-10T00:00:00"/>
    <x v="1"/>
    <x v="1"/>
    <x v="0"/>
    <x v="0"/>
    <x v="18"/>
    <x v="11"/>
    <x v="8"/>
    <x v="1"/>
  </r>
  <r>
    <s v="TX501559"/>
    <x v="18"/>
    <x v="3"/>
    <n v="58.7"/>
    <n v="410.90000000000003"/>
    <x v="57"/>
    <d v="2025-02-27T00:00:00"/>
    <x v="3"/>
    <x v="3"/>
    <x v="0"/>
    <x v="0"/>
    <x v="31"/>
    <x v="7"/>
    <x v="8"/>
    <x v="3"/>
  </r>
  <r>
    <s v="TX501560"/>
    <x v="6"/>
    <x v="12"/>
    <n v="54"/>
    <n v="216"/>
    <x v="57"/>
    <d v="2025-03-01T00:00:00"/>
    <x v="2"/>
    <x v="1"/>
    <x v="0"/>
    <x v="0"/>
    <x v="1"/>
    <x v="1"/>
    <x v="8"/>
    <x v="2"/>
  </r>
  <r>
    <s v="TX501561"/>
    <x v="8"/>
    <x v="0"/>
    <n v="52.1"/>
    <n v="52.1"/>
    <x v="57"/>
    <d v="2025-02-28T00:00:00"/>
    <x v="2"/>
    <x v="2"/>
    <x v="2"/>
    <x v="0"/>
    <x v="2"/>
    <x v="3"/>
    <x v="8"/>
    <x v="2"/>
  </r>
  <r>
    <s v="TX501562"/>
    <x v="19"/>
    <x v="1"/>
    <n v="27"/>
    <n v="54"/>
    <x v="57"/>
    <d v="2025-03-02T00:00:00"/>
    <x v="3"/>
    <x v="2"/>
    <x v="0"/>
    <x v="0"/>
    <x v="22"/>
    <x v="2"/>
    <x v="8"/>
    <x v="3"/>
  </r>
  <r>
    <s v="TX501563"/>
    <x v="12"/>
    <x v="7"/>
    <n v="31"/>
    <n v="310"/>
    <x v="58"/>
    <d v="2025-03-01T00:00:00"/>
    <x v="2"/>
    <x v="3"/>
    <x v="2"/>
    <x v="0"/>
    <x v="22"/>
    <x v="3"/>
    <x v="8"/>
    <x v="2"/>
  </r>
  <r>
    <s v="TX501564"/>
    <x v="10"/>
    <x v="1"/>
    <n v="46.7"/>
    <n v="93.4"/>
    <x v="58"/>
    <d v="2025-02-28T00:00:00"/>
    <x v="2"/>
    <x v="0"/>
    <x v="0"/>
    <x v="0"/>
    <x v="34"/>
    <x v="7"/>
    <x v="8"/>
    <x v="2"/>
  </r>
  <r>
    <s v="TX501565"/>
    <x v="6"/>
    <x v="0"/>
    <n v="144.69999999999999"/>
    <n v="144.69999999999999"/>
    <x v="58"/>
    <d v="2025-03-03T00:00:00"/>
    <x v="1"/>
    <x v="0"/>
    <x v="2"/>
    <x v="0"/>
    <x v="3"/>
    <x v="2"/>
    <x v="8"/>
    <x v="1"/>
  </r>
  <r>
    <s v="TX501566"/>
    <x v="2"/>
    <x v="11"/>
    <n v="90.9"/>
    <n v="818.1"/>
    <x v="58"/>
    <d v="2025-03-01T00:00:00"/>
    <x v="1"/>
    <x v="0"/>
    <x v="2"/>
    <x v="0"/>
    <x v="3"/>
    <x v="3"/>
    <x v="8"/>
    <x v="1"/>
  </r>
  <r>
    <s v="TX501567"/>
    <x v="1"/>
    <x v="1"/>
    <n v="75.8"/>
    <n v="151.6"/>
    <x v="58"/>
    <d v="2025-03-01T00:00:00"/>
    <x v="2"/>
    <x v="2"/>
    <x v="1"/>
    <x v="0"/>
    <x v="3"/>
    <x v="3"/>
    <x v="8"/>
    <x v="2"/>
  </r>
  <r>
    <s v="TX501568"/>
    <x v="7"/>
    <x v="9"/>
    <n v="57.9"/>
    <n v="289.5"/>
    <x v="58"/>
    <d v="2025-03-02T00:00:00"/>
    <x v="1"/>
    <x v="2"/>
    <x v="2"/>
    <x v="0"/>
    <x v="3"/>
    <x v="1"/>
    <x v="8"/>
    <x v="1"/>
  </r>
  <r>
    <s v="TX501569"/>
    <x v="8"/>
    <x v="9"/>
    <n v="44.8"/>
    <n v="224"/>
    <x v="58"/>
    <d v="2025-03-01T00:00:00"/>
    <x v="2"/>
    <x v="3"/>
    <x v="2"/>
    <x v="0"/>
    <x v="3"/>
    <x v="3"/>
    <x v="8"/>
    <x v="2"/>
  </r>
  <r>
    <s v="TX501570"/>
    <x v="9"/>
    <x v="2"/>
    <n v="44.2"/>
    <n v="132.60000000000002"/>
    <x v="58"/>
    <d v="2025-03-04T00:00:00"/>
    <x v="1"/>
    <x v="2"/>
    <x v="2"/>
    <x v="0"/>
    <x v="3"/>
    <x v="5"/>
    <x v="8"/>
    <x v="1"/>
  </r>
  <r>
    <s v="TX501571"/>
    <x v="5"/>
    <x v="9"/>
    <n v="53.5"/>
    <n v="267.5"/>
    <x v="58"/>
    <d v="2025-03-02T00:00:00"/>
    <x v="1"/>
    <x v="0"/>
    <x v="0"/>
    <x v="0"/>
    <x v="37"/>
    <x v="1"/>
    <x v="8"/>
    <x v="1"/>
  </r>
  <r>
    <s v="TX501572"/>
    <x v="6"/>
    <x v="1"/>
    <n v="72.2"/>
    <n v="144.4"/>
    <x v="58"/>
    <d v="2025-03-01T00:00:00"/>
    <x v="1"/>
    <x v="0"/>
    <x v="2"/>
    <x v="0"/>
    <x v="25"/>
    <x v="3"/>
    <x v="8"/>
    <x v="1"/>
  </r>
  <r>
    <s v="TX501573"/>
    <x v="6"/>
    <x v="12"/>
    <n v="62.4"/>
    <n v="249.6"/>
    <x v="58"/>
    <d v="2025-03-03T00:00:00"/>
    <x v="2"/>
    <x v="0"/>
    <x v="1"/>
    <x v="0"/>
    <x v="23"/>
    <x v="2"/>
    <x v="8"/>
    <x v="2"/>
  </r>
  <r>
    <s v="TX501574"/>
    <x v="10"/>
    <x v="9"/>
    <n v="24.7"/>
    <n v="123.5"/>
    <x v="58"/>
    <d v="2025-03-01T00:00:00"/>
    <x v="2"/>
    <x v="0"/>
    <x v="0"/>
    <x v="0"/>
    <x v="6"/>
    <x v="3"/>
    <x v="8"/>
    <x v="2"/>
  </r>
  <r>
    <s v="TX501575"/>
    <x v="1"/>
    <x v="9"/>
    <n v="61.7"/>
    <n v="308.5"/>
    <x v="58"/>
    <d v="2025-03-02T00:00:00"/>
    <x v="2"/>
    <x v="2"/>
    <x v="0"/>
    <x v="0"/>
    <x v="8"/>
    <x v="1"/>
    <x v="8"/>
    <x v="2"/>
  </r>
  <r>
    <s v="TX501576"/>
    <x v="8"/>
    <x v="9"/>
    <n v="18.2"/>
    <n v="91"/>
    <x v="58"/>
    <d v="2025-03-02T00:00:00"/>
    <x v="2"/>
    <x v="3"/>
    <x v="0"/>
    <x v="0"/>
    <x v="8"/>
    <x v="1"/>
    <x v="8"/>
    <x v="2"/>
  </r>
  <r>
    <s v="TX501577"/>
    <x v="10"/>
    <x v="12"/>
    <n v="37.200000000000003"/>
    <n v="148.80000000000001"/>
    <x v="58"/>
    <d v="2025-03-06T00:00:00"/>
    <x v="2"/>
    <x v="0"/>
    <x v="0"/>
    <x v="0"/>
    <x v="8"/>
    <x v="4"/>
    <x v="8"/>
    <x v="2"/>
  </r>
  <r>
    <s v="TX501578"/>
    <x v="9"/>
    <x v="2"/>
    <n v="53.5"/>
    <n v="160.5"/>
    <x v="58"/>
    <d v="2025-03-02T00:00:00"/>
    <x v="2"/>
    <x v="1"/>
    <x v="2"/>
    <x v="0"/>
    <x v="9"/>
    <x v="1"/>
    <x v="8"/>
    <x v="2"/>
  </r>
  <r>
    <s v="TX501579"/>
    <x v="8"/>
    <x v="2"/>
    <n v="43.6"/>
    <n v="130.80000000000001"/>
    <x v="58"/>
    <d v="2025-02-28T00:00:00"/>
    <x v="2"/>
    <x v="0"/>
    <x v="0"/>
    <x v="0"/>
    <x v="9"/>
    <x v="7"/>
    <x v="8"/>
    <x v="2"/>
  </r>
  <r>
    <s v="TX501580"/>
    <x v="1"/>
    <x v="7"/>
    <n v="135"/>
    <n v="1350"/>
    <x v="58"/>
    <d v="2025-03-02T00:00:00"/>
    <x v="2"/>
    <x v="0"/>
    <x v="2"/>
    <x v="0"/>
    <x v="9"/>
    <x v="1"/>
    <x v="8"/>
    <x v="2"/>
  </r>
  <r>
    <s v="TX501581"/>
    <x v="8"/>
    <x v="9"/>
    <n v="38.5"/>
    <n v="192.5"/>
    <x v="58"/>
    <d v="2025-02-28T00:00:00"/>
    <x v="1"/>
    <x v="4"/>
    <x v="2"/>
    <x v="0"/>
    <x v="10"/>
    <x v="7"/>
    <x v="8"/>
    <x v="1"/>
  </r>
  <r>
    <s v="TX501582"/>
    <x v="9"/>
    <x v="1"/>
    <n v="24"/>
    <n v="48"/>
    <x v="58"/>
    <d v="2025-03-05T00:00:00"/>
    <x v="2"/>
    <x v="0"/>
    <x v="0"/>
    <x v="0"/>
    <x v="11"/>
    <x v="0"/>
    <x v="8"/>
    <x v="2"/>
  </r>
  <r>
    <s v="TX501583"/>
    <x v="4"/>
    <x v="2"/>
    <n v="28.2"/>
    <n v="84.6"/>
    <x v="58"/>
    <d v="2025-03-02T00:00:00"/>
    <x v="1"/>
    <x v="0"/>
    <x v="3"/>
    <x v="0"/>
    <x v="18"/>
    <x v="1"/>
    <x v="8"/>
    <x v="1"/>
  </r>
  <r>
    <s v="TX501584"/>
    <x v="7"/>
    <x v="2"/>
    <n v="37.4"/>
    <n v="112.19999999999999"/>
    <x v="58"/>
    <d v="2025-03-01T00:00:00"/>
    <x v="2"/>
    <x v="3"/>
    <x v="0"/>
    <x v="0"/>
    <x v="1"/>
    <x v="3"/>
    <x v="8"/>
    <x v="2"/>
  </r>
  <r>
    <s v="TX501585"/>
    <x v="6"/>
    <x v="2"/>
    <n v="53.5"/>
    <n v="160.5"/>
    <x v="58"/>
    <d v="2025-03-03T00:00:00"/>
    <x v="0"/>
    <x v="4"/>
    <x v="4"/>
    <x v="0"/>
    <x v="1"/>
    <x v="2"/>
    <x v="8"/>
    <x v="0"/>
  </r>
  <r>
    <s v="TX501586"/>
    <x v="11"/>
    <x v="9"/>
    <n v="36.200000000000003"/>
    <n v="181"/>
    <x v="58"/>
    <d v="2025-03-01T00:00:00"/>
    <x v="1"/>
    <x v="1"/>
    <x v="2"/>
    <x v="0"/>
    <x v="33"/>
    <x v="3"/>
    <x v="8"/>
    <x v="1"/>
  </r>
  <r>
    <s v="TX501587"/>
    <x v="0"/>
    <x v="8"/>
    <n v="31.9"/>
    <n v="255.2"/>
    <x v="58"/>
    <d v="2025-03-01T00:00:00"/>
    <x v="2"/>
    <x v="4"/>
    <x v="0"/>
    <x v="0"/>
    <x v="3"/>
    <x v="3"/>
    <x v="8"/>
    <x v="2"/>
  </r>
  <r>
    <s v="TX501588"/>
    <x v="8"/>
    <x v="2"/>
    <n v="21.3"/>
    <n v="63.900000000000006"/>
    <x v="58"/>
    <d v="2025-03-01T00:00:00"/>
    <x v="1"/>
    <x v="0"/>
    <x v="2"/>
    <x v="0"/>
    <x v="3"/>
    <x v="3"/>
    <x v="8"/>
    <x v="1"/>
  </r>
  <r>
    <s v="TX501589"/>
    <x v="8"/>
    <x v="0"/>
    <n v="36.299999999999997"/>
    <n v="36.299999999999997"/>
    <x v="58"/>
    <d v="2025-03-02T00:00:00"/>
    <x v="3"/>
    <x v="4"/>
    <x v="0"/>
    <x v="0"/>
    <x v="3"/>
    <x v="1"/>
    <x v="8"/>
    <x v="3"/>
  </r>
  <r>
    <s v="TX501590"/>
    <x v="6"/>
    <x v="2"/>
    <n v="110.5"/>
    <n v="331.5"/>
    <x v="58"/>
    <d v="2025-03-01T00:00:00"/>
    <x v="2"/>
    <x v="0"/>
    <x v="3"/>
    <x v="0"/>
    <x v="3"/>
    <x v="3"/>
    <x v="8"/>
    <x v="2"/>
  </r>
  <r>
    <s v="TX501591"/>
    <x v="10"/>
    <x v="3"/>
    <n v="32.6"/>
    <n v="228.20000000000002"/>
    <x v="58"/>
    <d v="2025-03-02T00:00:00"/>
    <x v="2"/>
    <x v="0"/>
    <x v="1"/>
    <x v="0"/>
    <x v="3"/>
    <x v="1"/>
    <x v="8"/>
    <x v="2"/>
  </r>
  <r>
    <s v="TX501592"/>
    <x v="5"/>
    <x v="2"/>
    <n v="55.6"/>
    <n v="166.8"/>
    <x v="59"/>
    <d v="2025-03-14T00:00:00"/>
    <x v="2"/>
    <x v="0"/>
    <x v="0"/>
    <x v="0"/>
    <x v="3"/>
    <x v="10"/>
    <x v="8"/>
    <x v="2"/>
  </r>
  <r>
    <s v="TX501593"/>
    <x v="1"/>
    <x v="12"/>
    <n v="38"/>
    <n v="152"/>
    <x v="59"/>
    <d v="2025-03-02T00:00:00"/>
    <x v="2"/>
    <x v="3"/>
    <x v="2"/>
    <x v="0"/>
    <x v="5"/>
    <x v="3"/>
    <x v="8"/>
    <x v="2"/>
  </r>
  <r>
    <s v="TX501594"/>
    <x v="10"/>
    <x v="1"/>
    <n v="51.8"/>
    <n v="103.6"/>
    <x v="59"/>
    <d v="2025-03-07T00:00:00"/>
    <x v="1"/>
    <x v="1"/>
    <x v="4"/>
    <x v="0"/>
    <x v="6"/>
    <x v="4"/>
    <x v="8"/>
    <x v="1"/>
  </r>
  <r>
    <s v="TX501595"/>
    <x v="11"/>
    <x v="8"/>
    <n v="28.7"/>
    <n v="229.6"/>
    <x v="59"/>
    <d v="2025-03-06T00:00:00"/>
    <x v="2"/>
    <x v="0"/>
    <x v="0"/>
    <x v="0"/>
    <x v="6"/>
    <x v="0"/>
    <x v="8"/>
    <x v="2"/>
  </r>
  <r>
    <s v="TX501596"/>
    <x v="6"/>
    <x v="4"/>
    <n v="52.2"/>
    <n v="626.40000000000009"/>
    <x v="59"/>
    <d v="2025-03-01T00:00:00"/>
    <x v="1"/>
    <x v="0"/>
    <x v="1"/>
    <x v="0"/>
    <x v="6"/>
    <x v="7"/>
    <x v="8"/>
    <x v="1"/>
  </r>
  <r>
    <s v="TX501597"/>
    <x v="1"/>
    <x v="1"/>
    <n v="68.2"/>
    <n v="136.4"/>
    <x v="59"/>
    <d v="2025-03-02T00:00:00"/>
    <x v="0"/>
    <x v="2"/>
    <x v="0"/>
    <x v="0"/>
    <x v="7"/>
    <x v="3"/>
    <x v="8"/>
    <x v="0"/>
  </r>
  <r>
    <s v="TX501598"/>
    <x v="0"/>
    <x v="2"/>
    <n v="34"/>
    <n v="102"/>
    <x v="59"/>
    <d v="2025-03-05T00:00:00"/>
    <x v="2"/>
    <x v="0"/>
    <x v="0"/>
    <x v="0"/>
    <x v="8"/>
    <x v="5"/>
    <x v="8"/>
    <x v="2"/>
  </r>
  <r>
    <s v="TX501599"/>
    <x v="8"/>
    <x v="2"/>
    <n v="19.100000000000001"/>
    <n v="57.300000000000004"/>
    <x v="59"/>
    <d v="2025-03-02T00:00:00"/>
    <x v="2"/>
    <x v="4"/>
    <x v="0"/>
    <x v="0"/>
    <x v="8"/>
    <x v="3"/>
    <x v="8"/>
    <x v="2"/>
  </r>
  <r>
    <s v="TX501600"/>
    <x v="5"/>
    <x v="8"/>
    <n v="34"/>
    <n v="272"/>
    <x v="59"/>
    <d v="2025-03-09T00:00:00"/>
    <x v="2"/>
    <x v="4"/>
    <x v="0"/>
    <x v="0"/>
    <x v="8"/>
    <x v="9"/>
    <x v="8"/>
    <x v="2"/>
  </r>
  <r>
    <s v="TX501601"/>
    <x v="12"/>
    <x v="1"/>
    <n v="109.1"/>
    <n v="218.2"/>
    <x v="59"/>
    <d v="2025-03-03T00:00:00"/>
    <x v="1"/>
    <x v="0"/>
    <x v="2"/>
    <x v="0"/>
    <x v="8"/>
    <x v="1"/>
    <x v="8"/>
    <x v="1"/>
  </r>
  <r>
    <s v="TX501602"/>
    <x v="18"/>
    <x v="1"/>
    <n v="64.8"/>
    <n v="129.6"/>
    <x v="59"/>
    <d v="2025-03-03T00:00:00"/>
    <x v="1"/>
    <x v="0"/>
    <x v="2"/>
    <x v="0"/>
    <x v="8"/>
    <x v="1"/>
    <x v="8"/>
    <x v="1"/>
  </r>
  <r>
    <s v="TX501603"/>
    <x v="10"/>
    <x v="1"/>
    <n v="21.1"/>
    <n v="42.2"/>
    <x v="59"/>
    <d v="2025-03-01T00:00:00"/>
    <x v="2"/>
    <x v="1"/>
    <x v="0"/>
    <x v="0"/>
    <x v="11"/>
    <x v="7"/>
    <x v="8"/>
    <x v="2"/>
  </r>
  <r>
    <s v="TX501604"/>
    <x v="0"/>
    <x v="8"/>
    <n v="21.3"/>
    <n v="170.4"/>
    <x v="59"/>
    <d v="2025-03-03T00:00:00"/>
    <x v="1"/>
    <x v="3"/>
    <x v="1"/>
    <x v="0"/>
    <x v="18"/>
    <x v="1"/>
    <x v="8"/>
    <x v="1"/>
  </r>
  <r>
    <s v="TX501605"/>
    <x v="9"/>
    <x v="2"/>
    <n v="24.3"/>
    <n v="72.900000000000006"/>
    <x v="59"/>
    <d v="2025-03-02T00:00:00"/>
    <x v="1"/>
    <x v="1"/>
    <x v="0"/>
    <x v="0"/>
    <x v="19"/>
    <x v="3"/>
    <x v="8"/>
    <x v="1"/>
  </r>
  <r>
    <s v="TX501606"/>
    <x v="8"/>
    <x v="0"/>
    <n v="43.3"/>
    <n v="43.3"/>
    <x v="59"/>
    <d v="2025-03-05T00:00:00"/>
    <x v="1"/>
    <x v="1"/>
    <x v="1"/>
    <x v="0"/>
    <x v="13"/>
    <x v="5"/>
    <x v="8"/>
    <x v="1"/>
  </r>
  <r>
    <s v="TX501607"/>
    <x v="9"/>
    <x v="2"/>
    <n v="41"/>
    <n v="123"/>
    <x v="59"/>
    <d v="2025-03-02T00:00:00"/>
    <x v="2"/>
    <x v="3"/>
    <x v="4"/>
    <x v="0"/>
    <x v="21"/>
    <x v="3"/>
    <x v="8"/>
    <x v="2"/>
  </r>
  <r>
    <s v="TX501608"/>
    <x v="16"/>
    <x v="2"/>
    <n v="54.1"/>
    <n v="162.30000000000001"/>
    <x v="59"/>
    <d v="2025-03-03T00:00:00"/>
    <x v="2"/>
    <x v="4"/>
    <x v="0"/>
    <x v="0"/>
    <x v="21"/>
    <x v="1"/>
    <x v="8"/>
    <x v="2"/>
  </r>
  <r>
    <s v="TX501609"/>
    <x v="11"/>
    <x v="1"/>
    <n v="39"/>
    <n v="78"/>
    <x v="59"/>
    <d v="2025-03-02T00:00:00"/>
    <x v="1"/>
    <x v="1"/>
    <x v="2"/>
    <x v="0"/>
    <x v="1"/>
    <x v="3"/>
    <x v="8"/>
    <x v="1"/>
  </r>
  <r>
    <s v="TX501610"/>
    <x v="8"/>
    <x v="1"/>
    <n v="40.299999999999997"/>
    <n v="80.599999999999994"/>
    <x v="59"/>
    <d v="2025-03-03T00:00:00"/>
    <x v="1"/>
    <x v="3"/>
    <x v="0"/>
    <x v="0"/>
    <x v="27"/>
    <x v="1"/>
    <x v="8"/>
    <x v="1"/>
  </r>
  <r>
    <s v="TX501611"/>
    <x v="8"/>
    <x v="2"/>
    <n v="24.1"/>
    <n v="72.300000000000011"/>
    <x v="59"/>
    <d v="2025-03-02T00:00:00"/>
    <x v="1"/>
    <x v="0"/>
    <x v="2"/>
    <x v="0"/>
    <x v="34"/>
    <x v="3"/>
    <x v="8"/>
    <x v="1"/>
  </r>
  <r>
    <s v="TX501612"/>
    <x v="6"/>
    <x v="9"/>
    <n v="52.3"/>
    <n v="261.5"/>
    <x v="59"/>
    <d v="2025-03-02T00:00:00"/>
    <x v="1"/>
    <x v="2"/>
    <x v="0"/>
    <x v="0"/>
    <x v="3"/>
    <x v="3"/>
    <x v="8"/>
    <x v="1"/>
  </r>
  <r>
    <s v="TX501613"/>
    <x v="12"/>
    <x v="12"/>
    <n v="68.8"/>
    <n v="275.2"/>
    <x v="59"/>
    <d v="2025-03-05T00:00:00"/>
    <x v="2"/>
    <x v="4"/>
    <x v="2"/>
    <x v="0"/>
    <x v="3"/>
    <x v="5"/>
    <x v="8"/>
    <x v="2"/>
  </r>
  <r>
    <s v="TX501614"/>
    <x v="2"/>
    <x v="1"/>
    <n v="128.80000000000001"/>
    <n v="257.60000000000002"/>
    <x v="60"/>
    <d v="2025-03-05T00:00:00"/>
    <x v="2"/>
    <x v="1"/>
    <x v="1"/>
    <x v="0"/>
    <x v="3"/>
    <x v="2"/>
    <x v="9"/>
    <x v="2"/>
  </r>
  <r>
    <s v="TX501615"/>
    <x v="15"/>
    <x v="9"/>
    <n v="48.2"/>
    <n v="241"/>
    <x v="60"/>
    <d v="2025-03-04T00:00:00"/>
    <x v="2"/>
    <x v="3"/>
    <x v="0"/>
    <x v="0"/>
    <x v="3"/>
    <x v="1"/>
    <x v="9"/>
    <x v="2"/>
  </r>
  <r>
    <s v="TX501616"/>
    <x v="10"/>
    <x v="0"/>
    <n v="39.700000000000003"/>
    <n v="39.700000000000003"/>
    <x v="60"/>
    <d v="2025-03-04T00:00:00"/>
    <x v="2"/>
    <x v="0"/>
    <x v="1"/>
    <x v="0"/>
    <x v="3"/>
    <x v="1"/>
    <x v="9"/>
    <x v="2"/>
  </r>
  <r>
    <s v="TX501617"/>
    <x v="9"/>
    <x v="0"/>
    <n v="59.7"/>
    <n v="59.7"/>
    <x v="60"/>
    <d v="2025-03-05T00:00:00"/>
    <x v="2"/>
    <x v="4"/>
    <x v="0"/>
    <x v="0"/>
    <x v="3"/>
    <x v="2"/>
    <x v="9"/>
    <x v="2"/>
  </r>
  <r>
    <s v="TX501618"/>
    <x v="6"/>
    <x v="0"/>
    <n v="48.3"/>
    <n v="48.3"/>
    <x v="60"/>
    <d v="2025-03-16T00:00:00"/>
    <x v="3"/>
    <x v="0"/>
    <x v="2"/>
    <x v="0"/>
    <x v="3"/>
    <x v="12"/>
    <x v="9"/>
    <x v="3"/>
  </r>
  <r>
    <s v="TX501619"/>
    <x v="8"/>
    <x v="2"/>
    <n v="45.5"/>
    <n v="136.5"/>
    <x v="60"/>
    <d v="2025-03-04T00:00:00"/>
    <x v="1"/>
    <x v="2"/>
    <x v="1"/>
    <x v="0"/>
    <x v="3"/>
    <x v="1"/>
    <x v="9"/>
    <x v="1"/>
  </r>
  <r>
    <s v="TX501620"/>
    <x v="9"/>
    <x v="6"/>
    <n v="51"/>
    <n v="1377"/>
    <x v="60"/>
    <d v="2025-03-02T00:00:00"/>
    <x v="2"/>
    <x v="2"/>
    <x v="0"/>
    <x v="0"/>
    <x v="3"/>
    <x v="7"/>
    <x v="9"/>
    <x v="2"/>
  </r>
  <r>
    <s v="TX501621"/>
    <x v="4"/>
    <x v="13"/>
    <n v="20.399999999999999"/>
    <n v="122.39999999999999"/>
    <x v="60"/>
    <d v="2025-03-03T00:00:00"/>
    <x v="1"/>
    <x v="2"/>
    <x v="0"/>
    <x v="0"/>
    <x v="3"/>
    <x v="3"/>
    <x v="9"/>
    <x v="1"/>
  </r>
  <r>
    <s v="TX501622"/>
    <x v="10"/>
    <x v="1"/>
    <n v="30.4"/>
    <n v="60.8"/>
    <x v="60"/>
    <d v="2025-03-04T00:00:00"/>
    <x v="1"/>
    <x v="2"/>
    <x v="0"/>
    <x v="0"/>
    <x v="3"/>
    <x v="1"/>
    <x v="9"/>
    <x v="1"/>
  </r>
  <r>
    <s v="TX501623"/>
    <x v="7"/>
    <x v="1"/>
    <n v="71.5"/>
    <n v="143"/>
    <x v="60"/>
    <d v="2025-03-06T00:00:00"/>
    <x v="2"/>
    <x v="0"/>
    <x v="0"/>
    <x v="0"/>
    <x v="3"/>
    <x v="5"/>
    <x v="9"/>
    <x v="2"/>
  </r>
  <r>
    <s v="TX501624"/>
    <x v="8"/>
    <x v="13"/>
    <n v="18"/>
    <n v="108"/>
    <x v="60"/>
    <d v="2025-03-03T00:00:00"/>
    <x v="3"/>
    <x v="1"/>
    <x v="2"/>
    <x v="0"/>
    <x v="6"/>
    <x v="3"/>
    <x v="9"/>
    <x v="3"/>
  </r>
  <r>
    <s v="TX501625"/>
    <x v="15"/>
    <x v="5"/>
    <n v="45.6"/>
    <n v="501.6"/>
    <x v="60"/>
    <d v="2025-03-03T00:00:00"/>
    <x v="3"/>
    <x v="1"/>
    <x v="1"/>
    <x v="0"/>
    <x v="7"/>
    <x v="3"/>
    <x v="9"/>
    <x v="3"/>
  </r>
  <r>
    <s v="TX501626"/>
    <x v="9"/>
    <x v="0"/>
    <n v="31.8"/>
    <n v="31.8"/>
    <x v="60"/>
    <d v="2025-03-06T00:00:00"/>
    <x v="2"/>
    <x v="0"/>
    <x v="2"/>
    <x v="0"/>
    <x v="7"/>
    <x v="5"/>
    <x v="9"/>
    <x v="2"/>
  </r>
  <r>
    <s v="TX501627"/>
    <x v="8"/>
    <x v="9"/>
    <n v="19.899999999999999"/>
    <n v="99.5"/>
    <x v="60"/>
    <d v="2025-03-03T00:00:00"/>
    <x v="2"/>
    <x v="1"/>
    <x v="0"/>
    <x v="0"/>
    <x v="7"/>
    <x v="3"/>
    <x v="9"/>
    <x v="2"/>
  </r>
  <r>
    <s v="TX501628"/>
    <x v="12"/>
    <x v="11"/>
    <n v="52.1"/>
    <n v="468.90000000000003"/>
    <x v="60"/>
    <d v="2025-03-04T00:00:00"/>
    <x v="1"/>
    <x v="0"/>
    <x v="0"/>
    <x v="0"/>
    <x v="8"/>
    <x v="1"/>
    <x v="9"/>
    <x v="1"/>
  </r>
  <r>
    <s v="TX501629"/>
    <x v="1"/>
    <x v="3"/>
    <n v="45.9"/>
    <n v="321.3"/>
    <x v="60"/>
    <d v="2025-03-03T00:00:00"/>
    <x v="1"/>
    <x v="0"/>
    <x v="1"/>
    <x v="0"/>
    <x v="8"/>
    <x v="3"/>
    <x v="9"/>
    <x v="1"/>
  </r>
  <r>
    <s v="TX501630"/>
    <x v="1"/>
    <x v="7"/>
    <n v="115.9"/>
    <n v="1159"/>
    <x v="60"/>
    <d v="2025-03-05T00:00:00"/>
    <x v="2"/>
    <x v="1"/>
    <x v="0"/>
    <x v="0"/>
    <x v="8"/>
    <x v="2"/>
    <x v="9"/>
    <x v="2"/>
  </r>
  <r>
    <s v="TX501631"/>
    <x v="6"/>
    <x v="11"/>
    <n v="86"/>
    <n v="774"/>
    <x v="60"/>
    <d v="2025-03-07T00:00:00"/>
    <x v="2"/>
    <x v="0"/>
    <x v="1"/>
    <x v="0"/>
    <x v="8"/>
    <x v="0"/>
    <x v="9"/>
    <x v="2"/>
  </r>
  <r>
    <s v="TX501632"/>
    <x v="7"/>
    <x v="3"/>
    <n v="73.599999999999994"/>
    <n v="515.19999999999993"/>
    <x v="60"/>
    <d v="2025-03-04T00:00:00"/>
    <x v="2"/>
    <x v="0"/>
    <x v="0"/>
    <x v="0"/>
    <x v="17"/>
    <x v="1"/>
    <x v="9"/>
    <x v="2"/>
  </r>
  <r>
    <s v="TX501633"/>
    <x v="10"/>
    <x v="2"/>
    <n v="26.7"/>
    <n v="80.099999999999994"/>
    <x v="60"/>
    <d v="2025-03-06T00:00:00"/>
    <x v="2"/>
    <x v="0"/>
    <x v="0"/>
    <x v="0"/>
    <x v="11"/>
    <x v="5"/>
    <x v="9"/>
    <x v="2"/>
  </r>
  <r>
    <s v="TX501634"/>
    <x v="8"/>
    <x v="3"/>
    <n v="46.6"/>
    <n v="326.2"/>
    <x v="60"/>
    <d v="2025-03-04T00:00:00"/>
    <x v="0"/>
    <x v="3"/>
    <x v="0"/>
    <x v="0"/>
    <x v="11"/>
    <x v="1"/>
    <x v="9"/>
    <x v="0"/>
  </r>
  <r>
    <s v="TX501635"/>
    <x v="3"/>
    <x v="2"/>
    <n v="84.6"/>
    <n v="253.79999999999998"/>
    <x v="60"/>
    <d v="2025-03-04T00:00:00"/>
    <x v="1"/>
    <x v="4"/>
    <x v="0"/>
    <x v="0"/>
    <x v="11"/>
    <x v="1"/>
    <x v="9"/>
    <x v="1"/>
  </r>
  <r>
    <s v="TX501636"/>
    <x v="7"/>
    <x v="21"/>
    <n v="41.5"/>
    <n v="581"/>
    <x v="60"/>
    <d v="2025-03-16T00:00:00"/>
    <x v="1"/>
    <x v="1"/>
    <x v="0"/>
    <x v="0"/>
    <x v="53"/>
    <x v="12"/>
    <x v="9"/>
    <x v="1"/>
  </r>
  <r>
    <s v="TX501637"/>
    <x v="8"/>
    <x v="0"/>
    <n v="32.799999999999997"/>
    <n v="32.799999999999997"/>
    <x v="60"/>
    <d v="2025-03-05T00:00:00"/>
    <x v="1"/>
    <x v="0"/>
    <x v="2"/>
    <x v="0"/>
    <x v="30"/>
    <x v="2"/>
    <x v="9"/>
    <x v="1"/>
  </r>
  <r>
    <s v="TX501638"/>
    <x v="4"/>
    <x v="3"/>
    <n v="46.7"/>
    <n v="326.90000000000003"/>
    <x v="60"/>
    <d v="2025-03-04T00:00:00"/>
    <x v="3"/>
    <x v="0"/>
    <x v="2"/>
    <x v="0"/>
    <x v="18"/>
    <x v="1"/>
    <x v="9"/>
    <x v="3"/>
  </r>
  <r>
    <s v="TX501639"/>
    <x v="15"/>
    <x v="3"/>
    <n v="21"/>
    <n v="147"/>
    <x v="60"/>
    <d v="2025-03-05T00:00:00"/>
    <x v="1"/>
    <x v="2"/>
    <x v="1"/>
    <x v="0"/>
    <x v="21"/>
    <x v="2"/>
    <x v="9"/>
    <x v="1"/>
  </r>
  <r>
    <s v="TX501640"/>
    <x v="5"/>
    <x v="3"/>
    <n v="29.4"/>
    <n v="205.79999999999998"/>
    <x v="60"/>
    <d v="2025-03-02T00:00:00"/>
    <x v="1"/>
    <x v="3"/>
    <x v="2"/>
    <x v="0"/>
    <x v="21"/>
    <x v="7"/>
    <x v="9"/>
    <x v="1"/>
  </r>
  <r>
    <s v="TX501641"/>
    <x v="15"/>
    <x v="1"/>
    <n v="32.299999999999997"/>
    <n v="64.599999999999994"/>
    <x v="60"/>
    <d v="2025-03-03T00:00:00"/>
    <x v="1"/>
    <x v="0"/>
    <x v="2"/>
    <x v="0"/>
    <x v="21"/>
    <x v="3"/>
    <x v="9"/>
    <x v="1"/>
  </r>
  <r>
    <s v="TX501642"/>
    <x v="6"/>
    <x v="0"/>
    <n v="42.2"/>
    <n v="42.2"/>
    <x v="61"/>
    <d v="2025-03-05T00:00:00"/>
    <x v="2"/>
    <x v="0"/>
    <x v="2"/>
    <x v="0"/>
    <x v="21"/>
    <x v="1"/>
    <x v="9"/>
    <x v="2"/>
  </r>
  <r>
    <s v="TX501643"/>
    <x v="6"/>
    <x v="0"/>
    <n v="53.7"/>
    <n v="53.7"/>
    <x v="61"/>
    <d v="2025-03-05T00:00:00"/>
    <x v="1"/>
    <x v="1"/>
    <x v="1"/>
    <x v="0"/>
    <x v="1"/>
    <x v="1"/>
    <x v="9"/>
    <x v="1"/>
  </r>
  <r>
    <s v="TX501644"/>
    <x v="2"/>
    <x v="1"/>
    <n v="123.9"/>
    <n v="247.8"/>
    <x v="61"/>
    <d v="2025-03-06T00:00:00"/>
    <x v="1"/>
    <x v="2"/>
    <x v="0"/>
    <x v="0"/>
    <x v="1"/>
    <x v="2"/>
    <x v="9"/>
    <x v="1"/>
  </r>
  <r>
    <s v="TX501645"/>
    <x v="4"/>
    <x v="2"/>
    <n v="35.9"/>
    <n v="107.69999999999999"/>
    <x v="61"/>
    <d v="2025-03-05T00:00:00"/>
    <x v="1"/>
    <x v="2"/>
    <x v="0"/>
    <x v="0"/>
    <x v="22"/>
    <x v="1"/>
    <x v="9"/>
    <x v="1"/>
  </r>
  <r>
    <s v="TX501646"/>
    <x v="4"/>
    <x v="1"/>
    <n v="23.6"/>
    <n v="47.2"/>
    <x v="61"/>
    <d v="2025-03-06T00:00:00"/>
    <x v="1"/>
    <x v="0"/>
    <x v="2"/>
    <x v="0"/>
    <x v="3"/>
    <x v="2"/>
    <x v="9"/>
    <x v="1"/>
  </r>
  <r>
    <s v="TX501647"/>
    <x v="15"/>
    <x v="36"/>
    <n v="45.7"/>
    <n v="1599.5"/>
    <x v="61"/>
    <d v="2025-03-04T00:00:00"/>
    <x v="1"/>
    <x v="0"/>
    <x v="1"/>
    <x v="0"/>
    <x v="3"/>
    <x v="3"/>
    <x v="9"/>
    <x v="1"/>
  </r>
  <r>
    <s v="TX501648"/>
    <x v="6"/>
    <x v="5"/>
    <n v="118.3"/>
    <n v="1301.3"/>
    <x v="61"/>
    <d v="2025-03-05T00:00:00"/>
    <x v="1"/>
    <x v="4"/>
    <x v="2"/>
    <x v="0"/>
    <x v="3"/>
    <x v="1"/>
    <x v="9"/>
    <x v="1"/>
  </r>
  <r>
    <s v="TX501649"/>
    <x v="19"/>
    <x v="0"/>
    <n v="36"/>
    <n v="36"/>
    <x v="61"/>
    <d v="2025-03-04T00:00:00"/>
    <x v="2"/>
    <x v="0"/>
    <x v="1"/>
    <x v="0"/>
    <x v="3"/>
    <x v="3"/>
    <x v="9"/>
    <x v="2"/>
  </r>
  <r>
    <s v="TX501650"/>
    <x v="8"/>
    <x v="1"/>
    <n v="37.1"/>
    <n v="74.2"/>
    <x v="61"/>
    <d v="2025-03-06T00:00:00"/>
    <x v="2"/>
    <x v="2"/>
    <x v="0"/>
    <x v="0"/>
    <x v="3"/>
    <x v="2"/>
    <x v="9"/>
    <x v="2"/>
  </r>
  <r>
    <s v="TX501651"/>
    <x v="18"/>
    <x v="2"/>
    <n v="45.1"/>
    <n v="135.30000000000001"/>
    <x v="61"/>
    <d v="2025-03-05T00:00:00"/>
    <x v="2"/>
    <x v="1"/>
    <x v="2"/>
    <x v="0"/>
    <x v="3"/>
    <x v="1"/>
    <x v="9"/>
    <x v="2"/>
  </r>
  <r>
    <s v="TX501652"/>
    <x v="5"/>
    <x v="27"/>
    <n v="37.9"/>
    <n v="606.4"/>
    <x v="61"/>
    <d v="2025-03-04T00:00:00"/>
    <x v="2"/>
    <x v="3"/>
    <x v="2"/>
    <x v="0"/>
    <x v="3"/>
    <x v="3"/>
    <x v="9"/>
    <x v="2"/>
  </r>
  <r>
    <s v="TX501653"/>
    <x v="2"/>
    <x v="1"/>
    <n v="121.6"/>
    <n v="243.2"/>
    <x v="61"/>
    <d v="2025-03-06T00:00:00"/>
    <x v="1"/>
    <x v="3"/>
    <x v="2"/>
    <x v="0"/>
    <x v="3"/>
    <x v="2"/>
    <x v="9"/>
    <x v="1"/>
  </r>
  <r>
    <s v="TX501654"/>
    <x v="5"/>
    <x v="3"/>
    <n v="38.200000000000003"/>
    <n v="267.40000000000003"/>
    <x v="61"/>
    <d v="2025-03-06T00:00:00"/>
    <x v="2"/>
    <x v="0"/>
    <x v="0"/>
    <x v="0"/>
    <x v="3"/>
    <x v="2"/>
    <x v="9"/>
    <x v="2"/>
  </r>
  <r>
    <s v="TX501655"/>
    <x v="17"/>
    <x v="1"/>
    <n v="37.200000000000003"/>
    <n v="74.400000000000006"/>
    <x v="61"/>
    <d v="2025-03-06T00:00:00"/>
    <x v="1"/>
    <x v="4"/>
    <x v="0"/>
    <x v="0"/>
    <x v="3"/>
    <x v="2"/>
    <x v="9"/>
    <x v="1"/>
  </r>
  <r>
    <s v="TX501656"/>
    <x v="2"/>
    <x v="12"/>
    <n v="115.7"/>
    <n v="462.8"/>
    <x v="61"/>
    <d v="2025-03-06T00:00:00"/>
    <x v="2"/>
    <x v="1"/>
    <x v="0"/>
    <x v="0"/>
    <x v="3"/>
    <x v="2"/>
    <x v="9"/>
    <x v="2"/>
  </r>
  <r>
    <s v="TX501657"/>
    <x v="2"/>
    <x v="13"/>
    <n v="99.4"/>
    <n v="596.40000000000009"/>
    <x v="61"/>
    <d v="2025-03-06T00:00:00"/>
    <x v="1"/>
    <x v="0"/>
    <x v="2"/>
    <x v="0"/>
    <x v="3"/>
    <x v="2"/>
    <x v="9"/>
    <x v="1"/>
  </r>
  <r>
    <s v="TX501658"/>
    <x v="11"/>
    <x v="0"/>
    <n v="38.700000000000003"/>
    <n v="38.700000000000003"/>
    <x v="61"/>
    <d v="2025-03-04T00:00:00"/>
    <x v="2"/>
    <x v="2"/>
    <x v="0"/>
    <x v="0"/>
    <x v="25"/>
    <x v="3"/>
    <x v="9"/>
    <x v="2"/>
  </r>
  <r>
    <s v="TX501659"/>
    <x v="4"/>
    <x v="1"/>
    <n v="35.5"/>
    <n v="71"/>
    <x v="61"/>
    <d v="2025-03-06T00:00:00"/>
    <x v="1"/>
    <x v="0"/>
    <x v="2"/>
    <x v="0"/>
    <x v="25"/>
    <x v="2"/>
    <x v="9"/>
    <x v="1"/>
  </r>
  <r>
    <s v="TX501660"/>
    <x v="2"/>
    <x v="12"/>
    <n v="93.3"/>
    <n v="373.2"/>
    <x v="61"/>
    <d v="2025-03-06T00:00:00"/>
    <x v="2"/>
    <x v="0"/>
    <x v="2"/>
    <x v="0"/>
    <x v="6"/>
    <x v="2"/>
    <x v="9"/>
    <x v="2"/>
  </r>
  <r>
    <s v="TX501661"/>
    <x v="16"/>
    <x v="0"/>
    <n v="31.4"/>
    <n v="31.4"/>
    <x v="61"/>
    <d v="2025-03-08T00:00:00"/>
    <x v="2"/>
    <x v="2"/>
    <x v="2"/>
    <x v="0"/>
    <x v="6"/>
    <x v="0"/>
    <x v="9"/>
    <x v="2"/>
  </r>
  <r>
    <s v="TX501662"/>
    <x v="1"/>
    <x v="0"/>
    <n v="85.9"/>
    <n v="85.9"/>
    <x v="61"/>
    <d v="2025-03-06T00:00:00"/>
    <x v="1"/>
    <x v="1"/>
    <x v="0"/>
    <x v="0"/>
    <x v="6"/>
    <x v="2"/>
    <x v="9"/>
    <x v="1"/>
  </r>
  <r>
    <s v="TX501663"/>
    <x v="6"/>
    <x v="8"/>
    <n v="41.7"/>
    <n v="333.6"/>
    <x v="61"/>
    <d v="2025-03-11T00:00:00"/>
    <x v="1"/>
    <x v="0"/>
    <x v="2"/>
    <x v="0"/>
    <x v="7"/>
    <x v="9"/>
    <x v="9"/>
    <x v="1"/>
  </r>
  <r>
    <s v="TX501664"/>
    <x v="8"/>
    <x v="12"/>
    <n v="31.5"/>
    <n v="126"/>
    <x v="61"/>
    <d v="2025-03-04T00:00:00"/>
    <x v="2"/>
    <x v="0"/>
    <x v="0"/>
    <x v="0"/>
    <x v="7"/>
    <x v="3"/>
    <x v="9"/>
    <x v="2"/>
  </r>
  <r>
    <s v="TX501665"/>
    <x v="8"/>
    <x v="1"/>
    <n v="36.299999999999997"/>
    <n v="72.599999999999994"/>
    <x v="61"/>
    <d v="2025-03-04T00:00:00"/>
    <x v="2"/>
    <x v="0"/>
    <x v="4"/>
    <x v="0"/>
    <x v="8"/>
    <x v="3"/>
    <x v="9"/>
    <x v="2"/>
  </r>
  <r>
    <s v="TX501666"/>
    <x v="8"/>
    <x v="2"/>
    <n v="33.4"/>
    <n v="100.19999999999999"/>
    <x v="61"/>
    <d v="2025-03-04T00:00:00"/>
    <x v="2"/>
    <x v="3"/>
    <x v="0"/>
    <x v="0"/>
    <x v="17"/>
    <x v="3"/>
    <x v="9"/>
    <x v="2"/>
  </r>
  <r>
    <s v="TX501667"/>
    <x v="2"/>
    <x v="2"/>
    <n v="65.2"/>
    <n v="195.60000000000002"/>
    <x v="61"/>
    <d v="2025-03-04T00:00:00"/>
    <x v="2"/>
    <x v="2"/>
    <x v="2"/>
    <x v="0"/>
    <x v="26"/>
    <x v="3"/>
    <x v="9"/>
    <x v="2"/>
  </r>
  <r>
    <s v="TX501668"/>
    <x v="8"/>
    <x v="11"/>
    <n v="65.5"/>
    <n v="589.5"/>
    <x v="61"/>
    <d v="2025-03-06T00:00:00"/>
    <x v="2"/>
    <x v="0"/>
    <x v="2"/>
    <x v="0"/>
    <x v="9"/>
    <x v="2"/>
    <x v="9"/>
    <x v="2"/>
  </r>
  <r>
    <s v="TX501669"/>
    <x v="6"/>
    <x v="2"/>
    <n v="52.8"/>
    <n v="158.39999999999998"/>
    <x v="61"/>
    <d v="2025-03-06T00:00:00"/>
    <x v="1"/>
    <x v="2"/>
    <x v="0"/>
    <x v="0"/>
    <x v="9"/>
    <x v="2"/>
    <x v="9"/>
    <x v="1"/>
  </r>
  <r>
    <s v="TX501670"/>
    <x v="9"/>
    <x v="9"/>
    <n v="24"/>
    <n v="120"/>
    <x v="61"/>
    <d v="2025-03-07T00:00:00"/>
    <x v="1"/>
    <x v="0"/>
    <x v="1"/>
    <x v="0"/>
    <x v="11"/>
    <x v="5"/>
    <x v="9"/>
    <x v="1"/>
  </r>
  <r>
    <s v="TX501671"/>
    <x v="3"/>
    <x v="2"/>
    <n v="51.2"/>
    <n v="153.60000000000002"/>
    <x v="61"/>
    <d v="2025-03-04T00:00:00"/>
    <x v="2"/>
    <x v="0"/>
    <x v="0"/>
    <x v="0"/>
    <x v="32"/>
    <x v="3"/>
    <x v="9"/>
    <x v="2"/>
  </r>
  <r>
    <s v="TX501672"/>
    <x v="5"/>
    <x v="2"/>
    <n v="28.3"/>
    <n v="84.9"/>
    <x v="61"/>
    <d v="2025-03-05T00:00:00"/>
    <x v="1"/>
    <x v="4"/>
    <x v="0"/>
    <x v="0"/>
    <x v="19"/>
    <x v="1"/>
    <x v="9"/>
    <x v="1"/>
  </r>
  <r>
    <s v="TX501673"/>
    <x v="6"/>
    <x v="2"/>
    <n v="42.3"/>
    <n v="126.89999999999999"/>
    <x v="61"/>
    <d v="2025-03-03T00:00:00"/>
    <x v="2"/>
    <x v="2"/>
    <x v="1"/>
    <x v="0"/>
    <x v="19"/>
    <x v="7"/>
    <x v="9"/>
    <x v="2"/>
  </r>
  <r>
    <s v="TX501674"/>
    <x v="2"/>
    <x v="8"/>
    <n v="163.30000000000001"/>
    <n v="1306.4000000000001"/>
    <x v="62"/>
    <d v="2025-03-05T00:00:00"/>
    <x v="2"/>
    <x v="1"/>
    <x v="0"/>
    <x v="0"/>
    <x v="13"/>
    <x v="3"/>
    <x v="9"/>
    <x v="2"/>
  </r>
  <r>
    <s v="TX501675"/>
    <x v="6"/>
    <x v="3"/>
    <n v="47.3"/>
    <n v="331.09999999999997"/>
    <x v="62"/>
    <d v="2025-03-07T00:00:00"/>
    <x v="2"/>
    <x v="4"/>
    <x v="1"/>
    <x v="0"/>
    <x v="21"/>
    <x v="2"/>
    <x v="9"/>
    <x v="2"/>
  </r>
  <r>
    <s v="TX501676"/>
    <x v="8"/>
    <x v="27"/>
    <n v="27.3"/>
    <n v="436.8"/>
    <x v="62"/>
    <d v="2025-03-05T00:00:00"/>
    <x v="2"/>
    <x v="2"/>
    <x v="0"/>
    <x v="0"/>
    <x v="21"/>
    <x v="3"/>
    <x v="9"/>
    <x v="2"/>
  </r>
  <r>
    <s v="TX501677"/>
    <x v="10"/>
    <x v="13"/>
    <n v="34.9"/>
    <n v="209.39999999999998"/>
    <x v="62"/>
    <d v="2025-03-15T00:00:00"/>
    <x v="2"/>
    <x v="0"/>
    <x v="0"/>
    <x v="0"/>
    <x v="21"/>
    <x v="11"/>
    <x v="9"/>
    <x v="2"/>
  </r>
  <r>
    <s v="TX501678"/>
    <x v="6"/>
    <x v="1"/>
    <n v="53.9"/>
    <n v="107.8"/>
    <x v="62"/>
    <d v="2025-03-07T00:00:00"/>
    <x v="3"/>
    <x v="0"/>
    <x v="4"/>
    <x v="0"/>
    <x v="1"/>
    <x v="2"/>
    <x v="9"/>
    <x v="3"/>
  </r>
  <r>
    <s v="TX501679"/>
    <x v="2"/>
    <x v="1"/>
    <n v="87.2"/>
    <n v="174.4"/>
    <x v="62"/>
    <d v="2025-03-05T00:00:00"/>
    <x v="2"/>
    <x v="0"/>
    <x v="1"/>
    <x v="0"/>
    <x v="1"/>
    <x v="3"/>
    <x v="9"/>
    <x v="2"/>
  </r>
  <r>
    <s v="TX501680"/>
    <x v="15"/>
    <x v="0"/>
    <n v="58.8"/>
    <n v="58.8"/>
    <x v="62"/>
    <d v="2025-03-06T00:00:00"/>
    <x v="2"/>
    <x v="2"/>
    <x v="0"/>
    <x v="0"/>
    <x v="44"/>
    <x v="1"/>
    <x v="9"/>
    <x v="2"/>
  </r>
  <r>
    <s v="TX501681"/>
    <x v="2"/>
    <x v="3"/>
    <n v="125.5"/>
    <n v="878.5"/>
    <x v="62"/>
    <d v="2025-03-05T00:00:00"/>
    <x v="1"/>
    <x v="2"/>
    <x v="4"/>
    <x v="0"/>
    <x v="22"/>
    <x v="3"/>
    <x v="9"/>
    <x v="1"/>
  </r>
  <r>
    <s v="TX501682"/>
    <x v="1"/>
    <x v="12"/>
    <n v="124.6"/>
    <n v="498.4"/>
    <x v="62"/>
    <d v="2025-03-06T00:00:00"/>
    <x v="2"/>
    <x v="0"/>
    <x v="1"/>
    <x v="0"/>
    <x v="22"/>
    <x v="1"/>
    <x v="9"/>
    <x v="2"/>
  </r>
  <r>
    <s v="TX501683"/>
    <x v="1"/>
    <x v="3"/>
    <n v="39.9"/>
    <n v="279.3"/>
    <x v="62"/>
    <d v="2025-03-05T00:00:00"/>
    <x v="1"/>
    <x v="2"/>
    <x v="1"/>
    <x v="0"/>
    <x v="3"/>
    <x v="3"/>
    <x v="9"/>
    <x v="1"/>
  </r>
  <r>
    <s v="TX501684"/>
    <x v="6"/>
    <x v="0"/>
    <n v="94.6"/>
    <n v="94.6"/>
    <x v="62"/>
    <d v="2025-03-18T00:00:00"/>
    <x v="2"/>
    <x v="0"/>
    <x v="1"/>
    <x v="0"/>
    <x v="3"/>
    <x v="12"/>
    <x v="9"/>
    <x v="2"/>
  </r>
  <r>
    <s v="TX501685"/>
    <x v="2"/>
    <x v="1"/>
    <n v="149.6"/>
    <n v="299.2"/>
    <x v="62"/>
    <d v="2025-03-05T00:00:00"/>
    <x v="2"/>
    <x v="0"/>
    <x v="0"/>
    <x v="0"/>
    <x v="3"/>
    <x v="3"/>
    <x v="9"/>
    <x v="2"/>
  </r>
  <r>
    <s v="TX501686"/>
    <x v="8"/>
    <x v="0"/>
    <n v="52.2"/>
    <n v="52.2"/>
    <x v="62"/>
    <d v="2025-03-05T00:00:00"/>
    <x v="0"/>
    <x v="1"/>
    <x v="0"/>
    <x v="0"/>
    <x v="3"/>
    <x v="3"/>
    <x v="9"/>
    <x v="0"/>
  </r>
  <r>
    <s v="TX501687"/>
    <x v="6"/>
    <x v="1"/>
    <n v="96.5"/>
    <n v="193"/>
    <x v="62"/>
    <d v="2025-03-05T00:00:00"/>
    <x v="2"/>
    <x v="1"/>
    <x v="1"/>
    <x v="0"/>
    <x v="3"/>
    <x v="3"/>
    <x v="9"/>
    <x v="2"/>
  </r>
  <r>
    <s v="TX501688"/>
    <x v="8"/>
    <x v="1"/>
    <n v="79.8"/>
    <n v="159.6"/>
    <x v="62"/>
    <d v="2025-03-06T00:00:00"/>
    <x v="2"/>
    <x v="0"/>
    <x v="1"/>
    <x v="0"/>
    <x v="3"/>
    <x v="1"/>
    <x v="9"/>
    <x v="2"/>
  </r>
  <r>
    <s v="TX501689"/>
    <x v="8"/>
    <x v="2"/>
    <n v="35.6"/>
    <n v="106.80000000000001"/>
    <x v="62"/>
    <d v="2025-03-05T00:00:00"/>
    <x v="2"/>
    <x v="2"/>
    <x v="0"/>
    <x v="0"/>
    <x v="3"/>
    <x v="3"/>
    <x v="9"/>
    <x v="2"/>
  </r>
  <r>
    <s v="TX501690"/>
    <x v="16"/>
    <x v="0"/>
    <n v="50.2"/>
    <n v="50.2"/>
    <x v="62"/>
    <d v="2025-03-05T00:00:00"/>
    <x v="2"/>
    <x v="1"/>
    <x v="2"/>
    <x v="0"/>
    <x v="3"/>
    <x v="3"/>
    <x v="9"/>
    <x v="2"/>
  </r>
  <r>
    <s v="TX501691"/>
    <x v="1"/>
    <x v="2"/>
    <n v="55.3"/>
    <n v="165.89999999999998"/>
    <x v="62"/>
    <d v="2025-03-07T00:00:00"/>
    <x v="2"/>
    <x v="0"/>
    <x v="4"/>
    <x v="0"/>
    <x v="40"/>
    <x v="2"/>
    <x v="9"/>
    <x v="2"/>
  </r>
  <r>
    <s v="TX501692"/>
    <x v="6"/>
    <x v="3"/>
    <n v="104.5"/>
    <n v="731.5"/>
    <x v="62"/>
    <d v="2025-03-08T00:00:00"/>
    <x v="2"/>
    <x v="1"/>
    <x v="0"/>
    <x v="0"/>
    <x v="7"/>
    <x v="5"/>
    <x v="9"/>
    <x v="2"/>
  </r>
  <r>
    <s v="TX501693"/>
    <x v="6"/>
    <x v="12"/>
    <n v="66.5"/>
    <n v="266"/>
    <x v="62"/>
    <d v="2025-03-06T00:00:00"/>
    <x v="1"/>
    <x v="1"/>
    <x v="0"/>
    <x v="0"/>
    <x v="7"/>
    <x v="1"/>
    <x v="9"/>
    <x v="1"/>
  </r>
  <r>
    <s v="TX501694"/>
    <x v="10"/>
    <x v="8"/>
    <n v="38.299999999999997"/>
    <n v="306.39999999999998"/>
    <x v="62"/>
    <d v="2025-03-05T00:00:00"/>
    <x v="2"/>
    <x v="0"/>
    <x v="0"/>
    <x v="0"/>
    <x v="7"/>
    <x v="3"/>
    <x v="9"/>
    <x v="2"/>
  </r>
  <r>
    <s v="TX501695"/>
    <x v="6"/>
    <x v="2"/>
    <n v="63.8"/>
    <n v="191.39999999999998"/>
    <x v="62"/>
    <d v="2025-03-07T00:00:00"/>
    <x v="2"/>
    <x v="1"/>
    <x v="0"/>
    <x v="0"/>
    <x v="8"/>
    <x v="2"/>
    <x v="9"/>
    <x v="2"/>
  </r>
  <r>
    <s v="TX501696"/>
    <x v="15"/>
    <x v="0"/>
    <n v="21.4"/>
    <n v="21.4"/>
    <x v="62"/>
    <d v="2025-03-04T00:00:00"/>
    <x v="1"/>
    <x v="4"/>
    <x v="0"/>
    <x v="0"/>
    <x v="8"/>
    <x v="7"/>
    <x v="9"/>
    <x v="1"/>
  </r>
  <r>
    <s v="TX501697"/>
    <x v="8"/>
    <x v="12"/>
    <n v="44.1"/>
    <n v="176.4"/>
    <x v="62"/>
    <d v="2025-03-06T00:00:00"/>
    <x v="2"/>
    <x v="2"/>
    <x v="0"/>
    <x v="0"/>
    <x v="8"/>
    <x v="1"/>
    <x v="9"/>
    <x v="2"/>
  </r>
  <r>
    <s v="TX501698"/>
    <x v="5"/>
    <x v="8"/>
    <n v="57.6"/>
    <n v="460.8"/>
    <x v="62"/>
    <d v="2025-03-06T00:00:00"/>
    <x v="1"/>
    <x v="1"/>
    <x v="2"/>
    <x v="0"/>
    <x v="8"/>
    <x v="1"/>
    <x v="9"/>
    <x v="1"/>
  </r>
  <r>
    <s v="TX501699"/>
    <x v="9"/>
    <x v="1"/>
    <n v="20.3"/>
    <n v="40.6"/>
    <x v="62"/>
    <d v="2025-03-10T00:00:00"/>
    <x v="2"/>
    <x v="3"/>
    <x v="0"/>
    <x v="0"/>
    <x v="8"/>
    <x v="4"/>
    <x v="9"/>
    <x v="2"/>
  </r>
  <r>
    <s v="TX501700"/>
    <x v="8"/>
    <x v="0"/>
    <n v="22.9"/>
    <n v="22.9"/>
    <x v="62"/>
    <d v="2025-03-06T00:00:00"/>
    <x v="2"/>
    <x v="2"/>
    <x v="2"/>
    <x v="0"/>
    <x v="8"/>
    <x v="1"/>
    <x v="9"/>
    <x v="2"/>
  </r>
  <r>
    <s v="TX501701"/>
    <x v="6"/>
    <x v="12"/>
    <n v="105.9"/>
    <n v="423.6"/>
    <x v="62"/>
    <d v="2025-03-05T00:00:00"/>
    <x v="2"/>
    <x v="1"/>
    <x v="2"/>
    <x v="0"/>
    <x v="17"/>
    <x v="3"/>
    <x v="9"/>
    <x v="2"/>
  </r>
  <r>
    <s v="TX501702"/>
    <x v="1"/>
    <x v="11"/>
    <n v="37.4"/>
    <n v="336.59999999999997"/>
    <x v="62"/>
    <d v="2025-03-08T00:00:00"/>
    <x v="1"/>
    <x v="1"/>
    <x v="0"/>
    <x v="0"/>
    <x v="11"/>
    <x v="5"/>
    <x v="9"/>
    <x v="1"/>
  </r>
  <r>
    <s v="TX501703"/>
    <x v="18"/>
    <x v="1"/>
    <n v="79"/>
    <n v="158"/>
    <x v="62"/>
    <d v="2025-03-05T00:00:00"/>
    <x v="1"/>
    <x v="2"/>
    <x v="0"/>
    <x v="0"/>
    <x v="28"/>
    <x v="3"/>
    <x v="9"/>
    <x v="1"/>
  </r>
  <r>
    <s v="TX501704"/>
    <x v="0"/>
    <x v="2"/>
    <n v="19.3"/>
    <n v="57.900000000000006"/>
    <x v="62"/>
    <d v="2025-03-05T00:00:00"/>
    <x v="2"/>
    <x v="4"/>
    <x v="0"/>
    <x v="0"/>
    <x v="21"/>
    <x v="3"/>
    <x v="9"/>
    <x v="2"/>
  </r>
  <r>
    <s v="TX501705"/>
    <x v="0"/>
    <x v="0"/>
    <n v="24"/>
    <n v="24"/>
    <x v="62"/>
    <d v="2025-03-05T00:00:00"/>
    <x v="2"/>
    <x v="1"/>
    <x v="0"/>
    <x v="0"/>
    <x v="1"/>
    <x v="3"/>
    <x v="9"/>
    <x v="2"/>
  </r>
  <r>
    <s v="TX501706"/>
    <x v="6"/>
    <x v="9"/>
    <n v="71.3"/>
    <n v="356.5"/>
    <x v="62"/>
    <d v="2025-03-07T00:00:00"/>
    <x v="2"/>
    <x v="2"/>
    <x v="0"/>
    <x v="0"/>
    <x v="2"/>
    <x v="2"/>
    <x v="9"/>
    <x v="2"/>
  </r>
  <r>
    <s v="TX501707"/>
    <x v="5"/>
    <x v="1"/>
    <n v="166.2"/>
    <n v="332.4"/>
    <x v="62"/>
    <d v="2025-03-05T00:00:00"/>
    <x v="1"/>
    <x v="0"/>
    <x v="2"/>
    <x v="0"/>
    <x v="50"/>
    <x v="3"/>
    <x v="9"/>
    <x v="1"/>
  </r>
  <r>
    <s v="TX501708"/>
    <x v="6"/>
    <x v="0"/>
    <n v="81"/>
    <n v="81"/>
    <x v="62"/>
    <d v="2025-03-05T00:00:00"/>
    <x v="2"/>
    <x v="2"/>
    <x v="1"/>
    <x v="0"/>
    <x v="3"/>
    <x v="3"/>
    <x v="9"/>
    <x v="2"/>
  </r>
  <r>
    <s v="TX501709"/>
    <x v="10"/>
    <x v="13"/>
    <n v="38.5"/>
    <n v="231"/>
    <x v="62"/>
    <d v="2025-03-08T00:00:00"/>
    <x v="2"/>
    <x v="0"/>
    <x v="0"/>
    <x v="0"/>
    <x v="3"/>
    <x v="5"/>
    <x v="9"/>
    <x v="2"/>
  </r>
  <r>
    <s v="TX501710"/>
    <x v="6"/>
    <x v="0"/>
    <n v="86.1"/>
    <n v="86.1"/>
    <x v="62"/>
    <d v="2025-03-06T00:00:00"/>
    <x v="2"/>
    <x v="3"/>
    <x v="0"/>
    <x v="0"/>
    <x v="3"/>
    <x v="1"/>
    <x v="9"/>
    <x v="2"/>
  </r>
  <r>
    <s v="TX501711"/>
    <x v="2"/>
    <x v="9"/>
    <n v="51"/>
    <n v="255"/>
    <x v="62"/>
    <d v="2025-03-05T00:00:00"/>
    <x v="1"/>
    <x v="0"/>
    <x v="1"/>
    <x v="0"/>
    <x v="3"/>
    <x v="3"/>
    <x v="9"/>
    <x v="1"/>
  </r>
  <r>
    <s v="TX501712"/>
    <x v="3"/>
    <x v="9"/>
    <n v="115.4"/>
    <n v="577"/>
    <x v="62"/>
    <d v="2025-03-05T00:00:00"/>
    <x v="1"/>
    <x v="0"/>
    <x v="0"/>
    <x v="0"/>
    <x v="3"/>
    <x v="3"/>
    <x v="9"/>
    <x v="1"/>
  </r>
  <r>
    <s v="TX501713"/>
    <x v="6"/>
    <x v="12"/>
    <n v="176.5"/>
    <n v="706"/>
    <x v="62"/>
    <d v="2025-03-05T00:00:00"/>
    <x v="2"/>
    <x v="2"/>
    <x v="2"/>
    <x v="0"/>
    <x v="3"/>
    <x v="3"/>
    <x v="9"/>
    <x v="2"/>
  </r>
  <r>
    <s v="TX501714"/>
    <x v="7"/>
    <x v="2"/>
    <n v="48.9"/>
    <n v="146.69999999999999"/>
    <x v="62"/>
    <d v="2025-03-05T00:00:00"/>
    <x v="1"/>
    <x v="4"/>
    <x v="0"/>
    <x v="0"/>
    <x v="3"/>
    <x v="3"/>
    <x v="9"/>
    <x v="1"/>
  </r>
  <r>
    <s v="TX501715"/>
    <x v="8"/>
    <x v="2"/>
    <n v="18.100000000000001"/>
    <n v="54.300000000000004"/>
    <x v="62"/>
    <d v="2025-03-11T00:00:00"/>
    <x v="2"/>
    <x v="1"/>
    <x v="2"/>
    <x v="0"/>
    <x v="29"/>
    <x v="6"/>
    <x v="9"/>
    <x v="2"/>
  </r>
  <r>
    <s v="TX501716"/>
    <x v="2"/>
    <x v="1"/>
    <n v="118.5"/>
    <n v="237"/>
    <x v="62"/>
    <d v="2025-03-07T00:00:00"/>
    <x v="1"/>
    <x v="1"/>
    <x v="2"/>
    <x v="0"/>
    <x v="16"/>
    <x v="2"/>
    <x v="9"/>
    <x v="1"/>
  </r>
  <r>
    <s v="TX501717"/>
    <x v="15"/>
    <x v="3"/>
    <n v="59.1"/>
    <n v="413.7"/>
    <x v="62"/>
    <d v="2025-03-05T00:00:00"/>
    <x v="2"/>
    <x v="3"/>
    <x v="0"/>
    <x v="0"/>
    <x v="25"/>
    <x v="3"/>
    <x v="9"/>
    <x v="2"/>
  </r>
  <r>
    <s v="TX501718"/>
    <x v="4"/>
    <x v="0"/>
    <n v="21.2"/>
    <n v="21.2"/>
    <x v="62"/>
    <d v="2025-03-05T00:00:00"/>
    <x v="2"/>
    <x v="0"/>
    <x v="1"/>
    <x v="0"/>
    <x v="6"/>
    <x v="3"/>
    <x v="9"/>
    <x v="2"/>
  </r>
  <r>
    <s v="TX501719"/>
    <x v="6"/>
    <x v="1"/>
    <n v="68.8"/>
    <n v="137.6"/>
    <x v="62"/>
    <d v="2025-03-09T00:00:00"/>
    <x v="2"/>
    <x v="3"/>
    <x v="2"/>
    <x v="0"/>
    <x v="6"/>
    <x v="0"/>
    <x v="9"/>
    <x v="2"/>
  </r>
  <r>
    <s v="TX501720"/>
    <x v="6"/>
    <x v="1"/>
    <n v="65.400000000000006"/>
    <n v="130.80000000000001"/>
    <x v="62"/>
    <d v="2025-03-08T00:00:00"/>
    <x v="2"/>
    <x v="0"/>
    <x v="0"/>
    <x v="0"/>
    <x v="6"/>
    <x v="5"/>
    <x v="9"/>
    <x v="2"/>
  </r>
  <r>
    <s v="TX501721"/>
    <x v="12"/>
    <x v="9"/>
    <n v="66.3"/>
    <n v="331.5"/>
    <x v="63"/>
    <d v="2025-03-08T00:00:00"/>
    <x v="2"/>
    <x v="4"/>
    <x v="0"/>
    <x v="0"/>
    <x v="6"/>
    <x v="2"/>
    <x v="9"/>
    <x v="2"/>
  </r>
  <r>
    <s v="TX501722"/>
    <x v="6"/>
    <x v="2"/>
    <n v="97.5"/>
    <n v="292.5"/>
    <x v="63"/>
    <d v="2025-03-05T00:00:00"/>
    <x v="1"/>
    <x v="3"/>
    <x v="0"/>
    <x v="0"/>
    <x v="8"/>
    <x v="7"/>
    <x v="9"/>
    <x v="1"/>
  </r>
  <r>
    <s v="TX501723"/>
    <x v="1"/>
    <x v="1"/>
    <n v="44"/>
    <n v="88"/>
    <x v="63"/>
    <d v="2025-03-08T00:00:00"/>
    <x v="2"/>
    <x v="1"/>
    <x v="2"/>
    <x v="0"/>
    <x v="8"/>
    <x v="2"/>
    <x v="9"/>
    <x v="2"/>
  </r>
  <r>
    <s v="TX501724"/>
    <x v="0"/>
    <x v="0"/>
    <n v="21.9"/>
    <n v="21.9"/>
    <x v="63"/>
    <d v="2025-03-06T00:00:00"/>
    <x v="1"/>
    <x v="0"/>
    <x v="0"/>
    <x v="0"/>
    <x v="8"/>
    <x v="3"/>
    <x v="9"/>
    <x v="1"/>
  </r>
  <r>
    <s v="TX501725"/>
    <x v="4"/>
    <x v="3"/>
    <n v="21.5"/>
    <n v="150.5"/>
    <x v="63"/>
    <d v="2025-03-07T00:00:00"/>
    <x v="2"/>
    <x v="1"/>
    <x v="2"/>
    <x v="0"/>
    <x v="9"/>
    <x v="1"/>
    <x v="9"/>
    <x v="2"/>
  </r>
  <r>
    <s v="TX501726"/>
    <x v="12"/>
    <x v="13"/>
    <n v="133"/>
    <n v="798"/>
    <x v="63"/>
    <d v="2025-03-06T00:00:00"/>
    <x v="3"/>
    <x v="0"/>
    <x v="2"/>
    <x v="0"/>
    <x v="10"/>
    <x v="3"/>
    <x v="9"/>
    <x v="3"/>
  </r>
  <r>
    <s v="TX501727"/>
    <x v="8"/>
    <x v="1"/>
    <n v="47.7"/>
    <n v="95.4"/>
    <x v="63"/>
    <d v="2025-03-09T00:00:00"/>
    <x v="1"/>
    <x v="0"/>
    <x v="2"/>
    <x v="0"/>
    <x v="10"/>
    <x v="5"/>
    <x v="9"/>
    <x v="1"/>
  </r>
  <r>
    <s v="TX501728"/>
    <x v="16"/>
    <x v="2"/>
    <n v="58.1"/>
    <n v="174.3"/>
    <x v="63"/>
    <d v="2025-03-06T00:00:00"/>
    <x v="2"/>
    <x v="0"/>
    <x v="0"/>
    <x v="0"/>
    <x v="11"/>
    <x v="3"/>
    <x v="9"/>
    <x v="2"/>
  </r>
  <r>
    <s v="TX501729"/>
    <x v="12"/>
    <x v="12"/>
    <n v="66.599999999999994"/>
    <n v="266.39999999999998"/>
    <x v="63"/>
    <d v="2025-03-06T00:00:00"/>
    <x v="0"/>
    <x v="0"/>
    <x v="0"/>
    <x v="0"/>
    <x v="11"/>
    <x v="3"/>
    <x v="9"/>
    <x v="0"/>
  </r>
  <r>
    <s v="TX501730"/>
    <x v="9"/>
    <x v="0"/>
    <n v="24.1"/>
    <n v="24.1"/>
    <x v="63"/>
    <d v="2025-03-08T00:00:00"/>
    <x v="1"/>
    <x v="2"/>
    <x v="1"/>
    <x v="0"/>
    <x v="19"/>
    <x v="2"/>
    <x v="9"/>
    <x v="1"/>
  </r>
  <r>
    <s v="TX501731"/>
    <x v="10"/>
    <x v="9"/>
    <n v="51.5"/>
    <n v="257.5"/>
    <x v="63"/>
    <d v="2025-03-10T00:00:00"/>
    <x v="2"/>
    <x v="0"/>
    <x v="0"/>
    <x v="0"/>
    <x v="13"/>
    <x v="0"/>
    <x v="9"/>
    <x v="2"/>
  </r>
  <r>
    <s v="TX501732"/>
    <x v="0"/>
    <x v="5"/>
    <n v="25.8"/>
    <n v="283.8"/>
    <x v="63"/>
    <d v="2025-03-09T00:00:00"/>
    <x v="2"/>
    <x v="3"/>
    <x v="4"/>
    <x v="0"/>
    <x v="21"/>
    <x v="5"/>
    <x v="9"/>
    <x v="2"/>
  </r>
  <r>
    <s v="TX501733"/>
    <x v="9"/>
    <x v="12"/>
    <n v="47.7"/>
    <n v="190.8"/>
    <x v="63"/>
    <d v="2025-03-05T00:00:00"/>
    <x v="2"/>
    <x v="0"/>
    <x v="1"/>
    <x v="0"/>
    <x v="21"/>
    <x v="7"/>
    <x v="9"/>
    <x v="2"/>
  </r>
  <r>
    <s v="TX501734"/>
    <x v="7"/>
    <x v="9"/>
    <n v="73.599999999999994"/>
    <n v="368"/>
    <x v="63"/>
    <d v="2025-03-09T00:00:00"/>
    <x v="1"/>
    <x v="1"/>
    <x v="0"/>
    <x v="0"/>
    <x v="21"/>
    <x v="5"/>
    <x v="9"/>
    <x v="1"/>
  </r>
  <r>
    <s v="TX501735"/>
    <x v="5"/>
    <x v="3"/>
    <n v="91.2"/>
    <n v="638.4"/>
    <x v="63"/>
    <d v="2025-03-06T00:00:00"/>
    <x v="1"/>
    <x v="1"/>
    <x v="2"/>
    <x v="0"/>
    <x v="21"/>
    <x v="3"/>
    <x v="9"/>
    <x v="1"/>
  </r>
  <r>
    <s v="TX501736"/>
    <x v="1"/>
    <x v="8"/>
    <n v="36.200000000000003"/>
    <n v="289.60000000000002"/>
    <x v="63"/>
    <d v="2025-03-05T00:00:00"/>
    <x v="1"/>
    <x v="2"/>
    <x v="2"/>
    <x v="0"/>
    <x v="1"/>
    <x v="7"/>
    <x v="9"/>
    <x v="1"/>
  </r>
  <r>
    <s v="TX501737"/>
    <x v="9"/>
    <x v="8"/>
    <n v="98"/>
    <n v="784"/>
    <x v="63"/>
    <d v="2025-03-09T00:00:00"/>
    <x v="2"/>
    <x v="2"/>
    <x v="0"/>
    <x v="0"/>
    <x v="2"/>
    <x v="5"/>
    <x v="9"/>
    <x v="2"/>
  </r>
  <r>
    <s v="TX501738"/>
    <x v="1"/>
    <x v="8"/>
    <n v="43.6"/>
    <n v="348.8"/>
    <x v="63"/>
    <d v="2025-03-06T00:00:00"/>
    <x v="2"/>
    <x v="2"/>
    <x v="0"/>
    <x v="0"/>
    <x v="22"/>
    <x v="3"/>
    <x v="9"/>
    <x v="2"/>
  </r>
  <r>
    <s v="TX501739"/>
    <x v="8"/>
    <x v="7"/>
    <n v="37.799999999999997"/>
    <n v="378"/>
    <x v="63"/>
    <d v="2025-03-05T00:00:00"/>
    <x v="3"/>
    <x v="0"/>
    <x v="0"/>
    <x v="0"/>
    <x v="50"/>
    <x v="7"/>
    <x v="9"/>
    <x v="3"/>
  </r>
  <r>
    <s v="TX501740"/>
    <x v="17"/>
    <x v="9"/>
    <n v="63.7"/>
    <n v="318.5"/>
    <x v="63"/>
    <d v="2025-03-08T00:00:00"/>
    <x v="2"/>
    <x v="2"/>
    <x v="1"/>
    <x v="0"/>
    <x v="3"/>
    <x v="2"/>
    <x v="9"/>
    <x v="2"/>
  </r>
  <r>
    <s v="TX501741"/>
    <x v="5"/>
    <x v="11"/>
    <n v="62.9"/>
    <n v="566.1"/>
    <x v="63"/>
    <d v="2025-03-10T00:00:00"/>
    <x v="1"/>
    <x v="3"/>
    <x v="2"/>
    <x v="0"/>
    <x v="3"/>
    <x v="0"/>
    <x v="9"/>
    <x v="1"/>
  </r>
  <r>
    <s v="TX501742"/>
    <x v="6"/>
    <x v="3"/>
    <n v="61.7"/>
    <n v="431.90000000000003"/>
    <x v="63"/>
    <d v="2025-03-08T00:00:00"/>
    <x v="2"/>
    <x v="2"/>
    <x v="2"/>
    <x v="0"/>
    <x v="3"/>
    <x v="2"/>
    <x v="9"/>
    <x v="2"/>
  </r>
  <r>
    <s v="TX501743"/>
    <x v="18"/>
    <x v="21"/>
    <n v="36.5"/>
    <n v="511"/>
    <x v="63"/>
    <d v="2025-03-06T00:00:00"/>
    <x v="1"/>
    <x v="0"/>
    <x v="2"/>
    <x v="0"/>
    <x v="3"/>
    <x v="3"/>
    <x v="9"/>
    <x v="1"/>
  </r>
  <r>
    <s v="TX501744"/>
    <x v="11"/>
    <x v="2"/>
    <n v="98.6"/>
    <n v="295.79999999999995"/>
    <x v="63"/>
    <d v="2025-03-08T00:00:00"/>
    <x v="3"/>
    <x v="0"/>
    <x v="4"/>
    <x v="0"/>
    <x v="3"/>
    <x v="2"/>
    <x v="9"/>
    <x v="3"/>
  </r>
  <r>
    <s v="TX501745"/>
    <x v="8"/>
    <x v="1"/>
    <n v="19.2"/>
    <n v="38.4"/>
    <x v="63"/>
    <d v="2025-03-15T00:00:00"/>
    <x v="1"/>
    <x v="0"/>
    <x v="0"/>
    <x v="0"/>
    <x v="3"/>
    <x v="14"/>
    <x v="9"/>
    <x v="1"/>
  </r>
  <r>
    <s v="TX501746"/>
    <x v="3"/>
    <x v="13"/>
    <n v="55.6"/>
    <n v="333.6"/>
    <x v="63"/>
    <d v="2025-03-09T00:00:00"/>
    <x v="2"/>
    <x v="0"/>
    <x v="2"/>
    <x v="0"/>
    <x v="3"/>
    <x v="5"/>
    <x v="9"/>
    <x v="2"/>
  </r>
  <r>
    <s v="TX501747"/>
    <x v="5"/>
    <x v="13"/>
    <n v="56.4"/>
    <n v="338.4"/>
    <x v="63"/>
    <d v="2025-03-06T00:00:00"/>
    <x v="2"/>
    <x v="1"/>
    <x v="0"/>
    <x v="0"/>
    <x v="3"/>
    <x v="3"/>
    <x v="9"/>
    <x v="2"/>
  </r>
  <r>
    <s v="TX501748"/>
    <x v="4"/>
    <x v="8"/>
    <n v="43.1"/>
    <n v="344.8"/>
    <x v="63"/>
    <d v="2025-03-09T00:00:00"/>
    <x v="2"/>
    <x v="4"/>
    <x v="0"/>
    <x v="0"/>
    <x v="3"/>
    <x v="5"/>
    <x v="9"/>
    <x v="2"/>
  </r>
  <r>
    <s v="TX501749"/>
    <x v="1"/>
    <x v="1"/>
    <n v="77.3"/>
    <n v="154.6"/>
    <x v="63"/>
    <d v="2025-03-07T00:00:00"/>
    <x v="1"/>
    <x v="0"/>
    <x v="0"/>
    <x v="0"/>
    <x v="6"/>
    <x v="1"/>
    <x v="9"/>
    <x v="1"/>
  </r>
  <r>
    <s v="TX501750"/>
    <x v="9"/>
    <x v="8"/>
    <n v="38.299999999999997"/>
    <n v="306.39999999999998"/>
    <x v="63"/>
    <d v="2025-03-06T00:00:00"/>
    <x v="1"/>
    <x v="0"/>
    <x v="0"/>
    <x v="0"/>
    <x v="7"/>
    <x v="3"/>
    <x v="9"/>
    <x v="1"/>
  </r>
  <r>
    <s v="TX501751"/>
    <x v="0"/>
    <x v="3"/>
    <n v="16.8"/>
    <n v="117.60000000000001"/>
    <x v="63"/>
    <d v="2025-03-08T00:00:00"/>
    <x v="1"/>
    <x v="2"/>
    <x v="1"/>
    <x v="0"/>
    <x v="8"/>
    <x v="2"/>
    <x v="9"/>
    <x v="1"/>
  </r>
  <r>
    <s v="TX501752"/>
    <x v="2"/>
    <x v="2"/>
    <n v="63.2"/>
    <n v="189.60000000000002"/>
    <x v="63"/>
    <d v="2025-03-06T00:00:00"/>
    <x v="2"/>
    <x v="0"/>
    <x v="2"/>
    <x v="0"/>
    <x v="8"/>
    <x v="3"/>
    <x v="9"/>
    <x v="2"/>
  </r>
  <r>
    <s v="TX501753"/>
    <x v="14"/>
    <x v="44"/>
    <n v="39.700000000000003"/>
    <n v="913.1"/>
    <x v="63"/>
    <d v="2025-03-06T00:00:00"/>
    <x v="1"/>
    <x v="0"/>
    <x v="0"/>
    <x v="0"/>
    <x v="8"/>
    <x v="3"/>
    <x v="9"/>
    <x v="1"/>
  </r>
  <r>
    <s v="TX501754"/>
    <x v="10"/>
    <x v="2"/>
    <n v="45.8"/>
    <n v="137.39999999999998"/>
    <x v="63"/>
    <d v="2025-03-06T00:00:00"/>
    <x v="2"/>
    <x v="1"/>
    <x v="2"/>
    <x v="0"/>
    <x v="8"/>
    <x v="3"/>
    <x v="9"/>
    <x v="2"/>
  </r>
  <r>
    <s v="TX501755"/>
    <x v="0"/>
    <x v="13"/>
    <n v="12.4"/>
    <n v="74.400000000000006"/>
    <x v="63"/>
    <d v="2025-03-08T00:00:00"/>
    <x v="1"/>
    <x v="0"/>
    <x v="0"/>
    <x v="0"/>
    <x v="8"/>
    <x v="2"/>
    <x v="9"/>
    <x v="1"/>
  </r>
  <r>
    <s v="TX501756"/>
    <x v="14"/>
    <x v="2"/>
    <n v="50.8"/>
    <n v="152.39999999999998"/>
    <x v="64"/>
    <d v="2025-03-06T00:00:00"/>
    <x v="2"/>
    <x v="4"/>
    <x v="0"/>
    <x v="0"/>
    <x v="17"/>
    <x v="7"/>
    <x v="9"/>
    <x v="2"/>
  </r>
  <r>
    <s v="TX501757"/>
    <x v="9"/>
    <x v="0"/>
    <n v="76"/>
    <n v="76"/>
    <x v="64"/>
    <d v="2025-03-10T00:00:00"/>
    <x v="3"/>
    <x v="2"/>
    <x v="2"/>
    <x v="0"/>
    <x v="17"/>
    <x v="5"/>
    <x v="9"/>
    <x v="3"/>
  </r>
  <r>
    <s v="TX501758"/>
    <x v="1"/>
    <x v="1"/>
    <n v="51.9"/>
    <n v="103.8"/>
    <x v="64"/>
    <d v="2025-03-07T00:00:00"/>
    <x v="1"/>
    <x v="1"/>
    <x v="2"/>
    <x v="0"/>
    <x v="26"/>
    <x v="3"/>
    <x v="9"/>
    <x v="1"/>
  </r>
  <r>
    <s v="TX501759"/>
    <x v="2"/>
    <x v="1"/>
    <n v="93.4"/>
    <n v="186.8"/>
    <x v="64"/>
    <d v="2025-03-13T00:00:00"/>
    <x v="1"/>
    <x v="0"/>
    <x v="3"/>
    <x v="0"/>
    <x v="11"/>
    <x v="6"/>
    <x v="9"/>
    <x v="1"/>
  </r>
  <r>
    <s v="TX501760"/>
    <x v="7"/>
    <x v="13"/>
    <n v="30.8"/>
    <n v="184.8"/>
    <x v="64"/>
    <d v="2025-03-09T00:00:00"/>
    <x v="2"/>
    <x v="1"/>
    <x v="0"/>
    <x v="0"/>
    <x v="11"/>
    <x v="2"/>
    <x v="9"/>
    <x v="2"/>
  </r>
  <r>
    <s v="TX501761"/>
    <x v="2"/>
    <x v="0"/>
    <n v="143.19999999999999"/>
    <n v="143.19999999999999"/>
    <x v="64"/>
    <d v="2025-03-09T00:00:00"/>
    <x v="1"/>
    <x v="2"/>
    <x v="0"/>
    <x v="0"/>
    <x v="11"/>
    <x v="2"/>
    <x v="9"/>
    <x v="1"/>
  </r>
  <r>
    <s v="TX501762"/>
    <x v="6"/>
    <x v="5"/>
    <n v="40.4"/>
    <n v="444.4"/>
    <x v="64"/>
    <d v="2025-03-08T00:00:00"/>
    <x v="1"/>
    <x v="2"/>
    <x v="2"/>
    <x v="0"/>
    <x v="18"/>
    <x v="1"/>
    <x v="9"/>
    <x v="1"/>
  </r>
  <r>
    <s v="TX501763"/>
    <x v="2"/>
    <x v="10"/>
    <n v="131.5"/>
    <n v="2498.5"/>
    <x v="64"/>
    <d v="2025-03-08T00:00:00"/>
    <x v="1"/>
    <x v="1"/>
    <x v="1"/>
    <x v="0"/>
    <x v="18"/>
    <x v="1"/>
    <x v="9"/>
    <x v="1"/>
  </r>
  <r>
    <s v="TX501764"/>
    <x v="18"/>
    <x v="3"/>
    <n v="61.6"/>
    <n v="431.2"/>
    <x v="64"/>
    <d v="2025-03-07T00:00:00"/>
    <x v="1"/>
    <x v="2"/>
    <x v="0"/>
    <x v="0"/>
    <x v="21"/>
    <x v="3"/>
    <x v="9"/>
    <x v="1"/>
  </r>
  <r>
    <s v="TX501765"/>
    <x v="9"/>
    <x v="9"/>
    <n v="32.700000000000003"/>
    <n v="163.5"/>
    <x v="64"/>
    <d v="2025-03-08T00:00:00"/>
    <x v="1"/>
    <x v="2"/>
    <x v="0"/>
    <x v="0"/>
    <x v="1"/>
    <x v="1"/>
    <x v="9"/>
    <x v="1"/>
  </r>
  <r>
    <s v="TX501766"/>
    <x v="0"/>
    <x v="7"/>
    <n v="13.7"/>
    <n v="137"/>
    <x v="64"/>
    <d v="2025-03-07T00:00:00"/>
    <x v="1"/>
    <x v="0"/>
    <x v="2"/>
    <x v="0"/>
    <x v="3"/>
    <x v="3"/>
    <x v="9"/>
    <x v="1"/>
  </r>
  <r>
    <s v="TX501767"/>
    <x v="0"/>
    <x v="12"/>
    <n v="32.1"/>
    <n v="128.4"/>
    <x v="64"/>
    <d v="2025-03-07T00:00:00"/>
    <x v="1"/>
    <x v="4"/>
    <x v="1"/>
    <x v="0"/>
    <x v="3"/>
    <x v="3"/>
    <x v="9"/>
    <x v="1"/>
  </r>
  <r>
    <s v="TX501768"/>
    <x v="14"/>
    <x v="8"/>
    <n v="12"/>
    <n v="96"/>
    <x v="64"/>
    <d v="2025-03-07T00:00:00"/>
    <x v="1"/>
    <x v="1"/>
    <x v="0"/>
    <x v="0"/>
    <x v="24"/>
    <x v="3"/>
    <x v="9"/>
    <x v="1"/>
  </r>
  <r>
    <s v="TX501769"/>
    <x v="12"/>
    <x v="0"/>
    <n v="64.3"/>
    <n v="64.3"/>
    <x v="64"/>
    <d v="2025-03-08T00:00:00"/>
    <x v="2"/>
    <x v="2"/>
    <x v="2"/>
    <x v="0"/>
    <x v="6"/>
    <x v="1"/>
    <x v="9"/>
    <x v="2"/>
  </r>
  <r>
    <s v="TX501770"/>
    <x v="1"/>
    <x v="2"/>
    <n v="58.2"/>
    <n v="174.60000000000002"/>
    <x v="64"/>
    <d v="2025-03-08T00:00:00"/>
    <x v="2"/>
    <x v="1"/>
    <x v="2"/>
    <x v="0"/>
    <x v="6"/>
    <x v="1"/>
    <x v="9"/>
    <x v="2"/>
  </r>
  <r>
    <s v="TX501771"/>
    <x v="6"/>
    <x v="12"/>
    <n v="59.2"/>
    <n v="236.8"/>
    <x v="64"/>
    <d v="2025-03-06T00:00:00"/>
    <x v="1"/>
    <x v="1"/>
    <x v="2"/>
    <x v="0"/>
    <x v="6"/>
    <x v="7"/>
    <x v="9"/>
    <x v="1"/>
  </r>
  <r>
    <s v="TX501772"/>
    <x v="10"/>
    <x v="5"/>
    <n v="35.6"/>
    <n v="391.6"/>
    <x v="64"/>
    <d v="2025-03-13T00:00:00"/>
    <x v="1"/>
    <x v="0"/>
    <x v="2"/>
    <x v="0"/>
    <x v="8"/>
    <x v="6"/>
    <x v="9"/>
    <x v="1"/>
  </r>
  <r>
    <s v="TX501773"/>
    <x v="16"/>
    <x v="8"/>
    <n v="37"/>
    <n v="296"/>
    <x v="64"/>
    <d v="2025-03-10T00:00:00"/>
    <x v="2"/>
    <x v="2"/>
    <x v="1"/>
    <x v="0"/>
    <x v="8"/>
    <x v="5"/>
    <x v="9"/>
    <x v="2"/>
  </r>
  <r>
    <s v="TX501774"/>
    <x v="1"/>
    <x v="15"/>
    <n v="80.8"/>
    <n v="1050.3999999999999"/>
    <x v="64"/>
    <d v="2025-03-08T00:00:00"/>
    <x v="2"/>
    <x v="0"/>
    <x v="0"/>
    <x v="0"/>
    <x v="8"/>
    <x v="1"/>
    <x v="9"/>
    <x v="2"/>
  </r>
  <r>
    <s v="TX501775"/>
    <x v="8"/>
    <x v="1"/>
    <n v="63.2"/>
    <n v="126.4"/>
    <x v="64"/>
    <d v="2025-03-07T00:00:00"/>
    <x v="1"/>
    <x v="0"/>
    <x v="1"/>
    <x v="0"/>
    <x v="8"/>
    <x v="3"/>
    <x v="9"/>
    <x v="1"/>
  </r>
  <r>
    <s v="TX501776"/>
    <x v="3"/>
    <x v="1"/>
    <n v="40.799999999999997"/>
    <n v="81.599999999999994"/>
    <x v="64"/>
    <d v="2025-03-08T00:00:00"/>
    <x v="1"/>
    <x v="0"/>
    <x v="1"/>
    <x v="0"/>
    <x v="17"/>
    <x v="1"/>
    <x v="9"/>
    <x v="1"/>
  </r>
  <r>
    <s v="TX501777"/>
    <x v="13"/>
    <x v="13"/>
    <n v="25.7"/>
    <n v="154.19999999999999"/>
    <x v="64"/>
    <d v="2025-03-08T00:00:00"/>
    <x v="1"/>
    <x v="4"/>
    <x v="0"/>
    <x v="0"/>
    <x v="18"/>
    <x v="1"/>
    <x v="9"/>
    <x v="1"/>
  </r>
  <r>
    <s v="TX501778"/>
    <x v="16"/>
    <x v="1"/>
    <n v="49.9"/>
    <n v="99.8"/>
    <x v="64"/>
    <d v="2025-03-09T00:00:00"/>
    <x v="1"/>
    <x v="0"/>
    <x v="0"/>
    <x v="0"/>
    <x v="20"/>
    <x v="2"/>
    <x v="9"/>
    <x v="1"/>
  </r>
  <r>
    <s v="TX501779"/>
    <x v="8"/>
    <x v="1"/>
    <n v="20.2"/>
    <n v="40.4"/>
    <x v="64"/>
    <d v="2025-03-08T00:00:00"/>
    <x v="2"/>
    <x v="3"/>
    <x v="0"/>
    <x v="0"/>
    <x v="21"/>
    <x v="1"/>
    <x v="9"/>
    <x v="2"/>
  </r>
  <r>
    <s v="TX501780"/>
    <x v="6"/>
    <x v="2"/>
    <n v="48.4"/>
    <n v="145.19999999999999"/>
    <x v="64"/>
    <d v="2025-03-11T00:00:00"/>
    <x v="2"/>
    <x v="0"/>
    <x v="2"/>
    <x v="0"/>
    <x v="21"/>
    <x v="0"/>
    <x v="9"/>
    <x v="2"/>
  </r>
  <r>
    <s v="TX501781"/>
    <x v="6"/>
    <x v="1"/>
    <n v="81"/>
    <n v="162"/>
    <x v="64"/>
    <d v="2025-03-07T00:00:00"/>
    <x v="2"/>
    <x v="1"/>
    <x v="2"/>
    <x v="0"/>
    <x v="21"/>
    <x v="3"/>
    <x v="9"/>
    <x v="2"/>
  </r>
  <r>
    <s v="TX501782"/>
    <x v="8"/>
    <x v="13"/>
    <n v="19.899999999999999"/>
    <n v="119.39999999999999"/>
    <x v="64"/>
    <d v="2025-03-09T00:00:00"/>
    <x v="2"/>
    <x v="0"/>
    <x v="1"/>
    <x v="0"/>
    <x v="22"/>
    <x v="2"/>
    <x v="9"/>
    <x v="2"/>
  </r>
  <r>
    <s v="TX501783"/>
    <x v="4"/>
    <x v="12"/>
    <n v="32.200000000000003"/>
    <n v="128.80000000000001"/>
    <x v="64"/>
    <d v="2025-03-16T00:00:00"/>
    <x v="1"/>
    <x v="0"/>
    <x v="0"/>
    <x v="0"/>
    <x v="22"/>
    <x v="14"/>
    <x v="9"/>
    <x v="1"/>
  </r>
  <r>
    <s v="TX501784"/>
    <x v="5"/>
    <x v="2"/>
    <n v="76.8"/>
    <n v="230.39999999999998"/>
    <x v="64"/>
    <d v="2025-03-07T00:00:00"/>
    <x v="2"/>
    <x v="0"/>
    <x v="1"/>
    <x v="0"/>
    <x v="3"/>
    <x v="3"/>
    <x v="9"/>
    <x v="2"/>
  </r>
  <r>
    <s v="TX501785"/>
    <x v="6"/>
    <x v="1"/>
    <n v="41.9"/>
    <n v="83.8"/>
    <x v="64"/>
    <d v="2025-03-08T00:00:00"/>
    <x v="2"/>
    <x v="0"/>
    <x v="0"/>
    <x v="0"/>
    <x v="3"/>
    <x v="1"/>
    <x v="9"/>
    <x v="2"/>
  </r>
  <r>
    <s v="TX501786"/>
    <x v="0"/>
    <x v="3"/>
    <n v="34"/>
    <n v="238"/>
    <x v="64"/>
    <d v="2025-03-08T00:00:00"/>
    <x v="2"/>
    <x v="1"/>
    <x v="2"/>
    <x v="0"/>
    <x v="3"/>
    <x v="1"/>
    <x v="9"/>
    <x v="2"/>
  </r>
  <r>
    <s v="TX501787"/>
    <x v="7"/>
    <x v="3"/>
    <n v="61.3"/>
    <n v="429.09999999999997"/>
    <x v="64"/>
    <d v="2025-03-06T00:00:00"/>
    <x v="2"/>
    <x v="4"/>
    <x v="2"/>
    <x v="0"/>
    <x v="3"/>
    <x v="7"/>
    <x v="9"/>
    <x v="2"/>
  </r>
  <r>
    <s v="TX501788"/>
    <x v="9"/>
    <x v="0"/>
    <n v="54.7"/>
    <n v="54.7"/>
    <x v="65"/>
    <d v="2025-03-08T00:00:00"/>
    <x v="1"/>
    <x v="0"/>
    <x v="1"/>
    <x v="0"/>
    <x v="3"/>
    <x v="3"/>
    <x v="9"/>
    <x v="1"/>
  </r>
  <r>
    <s v="TX501789"/>
    <x v="6"/>
    <x v="7"/>
    <n v="84.7"/>
    <n v="847"/>
    <x v="65"/>
    <d v="2025-03-11T00:00:00"/>
    <x v="2"/>
    <x v="0"/>
    <x v="0"/>
    <x v="0"/>
    <x v="3"/>
    <x v="5"/>
    <x v="9"/>
    <x v="2"/>
  </r>
  <r>
    <s v="TX501790"/>
    <x v="1"/>
    <x v="2"/>
    <n v="93.4"/>
    <n v="280.20000000000005"/>
    <x v="65"/>
    <d v="2025-03-11T00:00:00"/>
    <x v="2"/>
    <x v="3"/>
    <x v="0"/>
    <x v="0"/>
    <x v="3"/>
    <x v="5"/>
    <x v="9"/>
    <x v="2"/>
  </r>
  <r>
    <s v="TX501791"/>
    <x v="8"/>
    <x v="9"/>
    <n v="27"/>
    <n v="135"/>
    <x v="65"/>
    <d v="2025-03-10T00:00:00"/>
    <x v="1"/>
    <x v="0"/>
    <x v="1"/>
    <x v="0"/>
    <x v="3"/>
    <x v="2"/>
    <x v="9"/>
    <x v="1"/>
  </r>
  <r>
    <s v="TX501792"/>
    <x v="0"/>
    <x v="12"/>
    <n v="10.9"/>
    <n v="43.6"/>
    <x v="65"/>
    <d v="2025-03-08T00:00:00"/>
    <x v="1"/>
    <x v="2"/>
    <x v="0"/>
    <x v="0"/>
    <x v="3"/>
    <x v="3"/>
    <x v="9"/>
    <x v="1"/>
  </r>
  <r>
    <s v="TX501793"/>
    <x v="16"/>
    <x v="2"/>
    <n v="48"/>
    <n v="144"/>
    <x v="65"/>
    <d v="2025-03-12T00:00:00"/>
    <x v="2"/>
    <x v="4"/>
    <x v="0"/>
    <x v="0"/>
    <x v="3"/>
    <x v="0"/>
    <x v="9"/>
    <x v="2"/>
  </r>
  <r>
    <s v="TX501794"/>
    <x v="5"/>
    <x v="1"/>
    <n v="67.900000000000006"/>
    <n v="135.80000000000001"/>
    <x v="65"/>
    <d v="2025-03-08T00:00:00"/>
    <x v="1"/>
    <x v="0"/>
    <x v="2"/>
    <x v="0"/>
    <x v="23"/>
    <x v="3"/>
    <x v="9"/>
    <x v="1"/>
  </r>
  <r>
    <s v="TX501795"/>
    <x v="4"/>
    <x v="2"/>
    <n v="36"/>
    <n v="108"/>
    <x v="65"/>
    <d v="2025-03-08T00:00:00"/>
    <x v="1"/>
    <x v="1"/>
    <x v="0"/>
    <x v="0"/>
    <x v="6"/>
    <x v="3"/>
    <x v="9"/>
    <x v="1"/>
  </r>
  <r>
    <s v="TX501796"/>
    <x v="2"/>
    <x v="0"/>
    <n v="128.80000000000001"/>
    <n v="128.80000000000001"/>
    <x v="65"/>
    <d v="2025-03-08T00:00:00"/>
    <x v="1"/>
    <x v="4"/>
    <x v="2"/>
    <x v="0"/>
    <x v="6"/>
    <x v="3"/>
    <x v="9"/>
    <x v="1"/>
  </r>
  <r>
    <s v="TX501797"/>
    <x v="18"/>
    <x v="3"/>
    <n v="33.299999999999997"/>
    <n v="233.09999999999997"/>
    <x v="65"/>
    <d v="2025-03-08T00:00:00"/>
    <x v="2"/>
    <x v="3"/>
    <x v="0"/>
    <x v="0"/>
    <x v="8"/>
    <x v="3"/>
    <x v="9"/>
    <x v="2"/>
  </r>
  <r>
    <s v="TX501798"/>
    <x v="10"/>
    <x v="2"/>
    <n v="37.799999999999997"/>
    <n v="113.39999999999999"/>
    <x v="65"/>
    <d v="2025-03-09T00:00:00"/>
    <x v="1"/>
    <x v="1"/>
    <x v="2"/>
    <x v="0"/>
    <x v="8"/>
    <x v="1"/>
    <x v="9"/>
    <x v="1"/>
  </r>
  <r>
    <s v="TX501799"/>
    <x v="5"/>
    <x v="2"/>
    <n v="26"/>
    <n v="78"/>
    <x v="65"/>
    <d v="2025-03-12T00:00:00"/>
    <x v="2"/>
    <x v="0"/>
    <x v="0"/>
    <x v="0"/>
    <x v="8"/>
    <x v="0"/>
    <x v="9"/>
    <x v="2"/>
  </r>
  <r>
    <s v="TX501800"/>
    <x v="8"/>
    <x v="10"/>
    <n v="28.3"/>
    <n v="537.70000000000005"/>
    <x v="65"/>
    <d v="2025-03-08T00:00:00"/>
    <x v="2"/>
    <x v="3"/>
    <x v="4"/>
    <x v="0"/>
    <x v="8"/>
    <x v="3"/>
    <x v="9"/>
    <x v="2"/>
  </r>
  <r>
    <s v="TX501801"/>
    <x v="8"/>
    <x v="12"/>
    <n v="31.3"/>
    <n v="125.2"/>
    <x v="65"/>
    <d v="2025-03-07T00:00:00"/>
    <x v="2"/>
    <x v="0"/>
    <x v="0"/>
    <x v="0"/>
    <x v="8"/>
    <x v="7"/>
    <x v="9"/>
    <x v="2"/>
  </r>
  <r>
    <s v="TX501802"/>
    <x v="7"/>
    <x v="2"/>
    <n v="69.5"/>
    <n v="208.5"/>
    <x v="65"/>
    <d v="2025-03-08T00:00:00"/>
    <x v="2"/>
    <x v="3"/>
    <x v="2"/>
    <x v="0"/>
    <x v="8"/>
    <x v="3"/>
    <x v="9"/>
    <x v="2"/>
  </r>
  <r>
    <s v="TX501803"/>
    <x v="0"/>
    <x v="1"/>
    <n v="16.7"/>
    <n v="33.4"/>
    <x v="65"/>
    <d v="2025-03-08T00:00:00"/>
    <x v="2"/>
    <x v="3"/>
    <x v="1"/>
    <x v="0"/>
    <x v="8"/>
    <x v="3"/>
    <x v="9"/>
    <x v="2"/>
  </r>
  <r>
    <s v="TX501804"/>
    <x v="9"/>
    <x v="1"/>
    <n v="62.6"/>
    <n v="125.2"/>
    <x v="65"/>
    <d v="2025-03-08T00:00:00"/>
    <x v="1"/>
    <x v="2"/>
    <x v="2"/>
    <x v="0"/>
    <x v="9"/>
    <x v="3"/>
    <x v="9"/>
    <x v="1"/>
  </r>
  <r>
    <s v="TX501805"/>
    <x v="7"/>
    <x v="0"/>
    <n v="81.2"/>
    <n v="81.2"/>
    <x v="65"/>
    <d v="2025-03-13T00:00:00"/>
    <x v="1"/>
    <x v="4"/>
    <x v="4"/>
    <x v="0"/>
    <x v="9"/>
    <x v="4"/>
    <x v="9"/>
    <x v="1"/>
  </r>
  <r>
    <s v="TX501806"/>
    <x v="0"/>
    <x v="7"/>
    <n v="12.7"/>
    <n v="127"/>
    <x v="65"/>
    <d v="2025-03-08T00:00:00"/>
    <x v="2"/>
    <x v="0"/>
    <x v="2"/>
    <x v="0"/>
    <x v="9"/>
    <x v="3"/>
    <x v="9"/>
    <x v="2"/>
  </r>
  <r>
    <s v="TX501807"/>
    <x v="7"/>
    <x v="12"/>
    <n v="77.7"/>
    <n v="310.8"/>
    <x v="66"/>
    <d v="2025-03-12T00:00:00"/>
    <x v="1"/>
    <x v="1"/>
    <x v="0"/>
    <x v="0"/>
    <x v="11"/>
    <x v="5"/>
    <x v="9"/>
    <x v="1"/>
  </r>
  <r>
    <s v="TX501808"/>
    <x v="5"/>
    <x v="1"/>
    <n v="37.299999999999997"/>
    <n v="74.599999999999994"/>
    <x v="66"/>
    <d v="2025-03-09T00:00:00"/>
    <x v="2"/>
    <x v="0"/>
    <x v="2"/>
    <x v="0"/>
    <x v="18"/>
    <x v="3"/>
    <x v="9"/>
    <x v="2"/>
  </r>
  <r>
    <s v="TX501809"/>
    <x v="10"/>
    <x v="12"/>
    <n v="35.6"/>
    <n v="142.4"/>
    <x v="66"/>
    <d v="2025-03-10T00:00:00"/>
    <x v="2"/>
    <x v="1"/>
    <x v="1"/>
    <x v="0"/>
    <x v="19"/>
    <x v="1"/>
    <x v="9"/>
    <x v="2"/>
  </r>
  <r>
    <s v="TX501810"/>
    <x v="2"/>
    <x v="2"/>
    <n v="95"/>
    <n v="285"/>
    <x v="66"/>
    <d v="2025-03-12T00:00:00"/>
    <x v="2"/>
    <x v="2"/>
    <x v="2"/>
    <x v="0"/>
    <x v="56"/>
    <x v="5"/>
    <x v="9"/>
    <x v="2"/>
  </r>
  <r>
    <s v="TX501811"/>
    <x v="2"/>
    <x v="12"/>
    <n v="172.1"/>
    <n v="688.4"/>
    <x v="66"/>
    <d v="2025-03-12T00:00:00"/>
    <x v="3"/>
    <x v="2"/>
    <x v="2"/>
    <x v="0"/>
    <x v="21"/>
    <x v="5"/>
    <x v="9"/>
    <x v="3"/>
  </r>
  <r>
    <s v="TX501812"/>
    <x v="2"/>
    <x v="1"/>
    <n v="233"/>
    <n v="466"/>
    <x v="66"/>
    <d v="2025-03-11T00:00:00"/>
    <x v="2"/>
    <x v="1"/>
    <x v="0"/>
    <x v="0"/>
    <x v="21"/>
    <x v="2"/>
    <x v="9"/>
    <x v="2"/>
  </r>
  <r>
    <s v="TX501813"/>
    <x v="0"/>
    <x v="0"/>
    <n v="43.5"/>
    <n v="43.5"/>
    <x v="66"/>
    <d v="2025-03-09T00:00:00"/>
    <x v="2"/>
    <x v="2"/>
    <x v="2"/>
    <x v="0"/>
    <x v="21"/>
    <x v="3"/>
    <x v="9"/>
    <x v="2"/>
  </r>
  <r>
    <s v="TX501814"/>
    <x v="9"/>
    <x v="1"/>
    <n v="47.8"/>
    <n v="95.6"/>
    <x v="66"/>
    <d v="2025-03-11T00:00:00"/>
    <x v="1"/>
    <x v="4"/>
    <x v="2"/>
    <x v="0"/>
    <x v="1"/>
    <x v="2"/>
    <x v="9"/>
    <x v="1"/>
  </r>
  <r>
    <s v="TX501815"/>
    <x v="12"/>
    <x v="1"/>
    <n v="65.8"/>
    <n v="131.6"/>
    <x v="66"/>
    <d v="2025-03-10T00:00:00"/>
    <x v="2"/>
    <x v="0"/>
    <x v="3"/>
    <x v="0"/>
    <x v="33"/>
    <x v="1"/>
    <x v="9"/>
    <x v="2"/>
  </r>
  <r>
    <s v="TX501816"/>
    <x v="15"/>
    <x v="5"/>
    <n v="38.700000000000003"/>
    <n v="425.70000000000005"/>
    <x v="66"/>
    <d v="2025-03-08T00:00:00"/>
    <x v="1"/>
    <x v="0"/>
    <x v="0"/>
    <x v="0"/>
    <x v="22"/>
    <x v="7"/>
    <x v="9"/>
    <x v="1"/>
  </r>
  <r>
    <s v="TX501817"/>
    <x v="3"/>
    <x v="12"/>
    <n v="55.7"/>
    <n v="222.8"/>
    <x v="66"/>
    <d v="2025-03-10T00:00:00"/>
    <x v="3"/>
    <x v="0"/>
    <x v="1"/>
    <x v="0"/>
    <x v="22"/>
    <x v="1"/>
    <x v="9"/>
    <x v="3"/>
  </r>
  <r>
    <s v="TX501818"/>
    <x v="7"/>
    <x v="1"/>
    <n v="102.4"/>
    <n v="204.8"/>
    <x v="66"/>
    <d v="2025-03-08T00:00:00"/>
    <x v="2"/>
    <x v="1"/>
    <x v="0"/>
    <x v="0"/>
    <x v="3"/>
    <x v="7"/>
    <x v="9"/>
    <x v="2"/>
  </r>
  <r>
    <s v="TX501819"/>
    <x v="1"/>
    <x v="0"/>
    <n v="92"/>
    <n v="92"/>
    <x v="66"/>
    <d v="2025-03-12T00:00:00"/>
    <x v="0"/>
    <x v="2"/>
    <x v="0"/>
    <x v="0"/>
    <x v="3"/>
    <x v="5"/>
    <x v="9"/>
    <x v="0"/>
  </r>
  <r>
    <s v="TX501820"/>
    <x v="6"/>
    <x v="12"/>
    <n v="75.900000000000006"/>
    <n v="303.60000000000002"/>
    <x v="66"/>
    <d v="2025-03-10T00:00:00"/>
    <x v="2"/>
    <x v="1"/>
    <x v="0"/>
    <x v="0"/>
    <x v="3"/>
    <x v="1"/>
    <x v="9"/>
    <x v="2"/>
  </r>
  <r>
    <s v="TX501821"/>
    <x v="1"/>
    <x v="12"/>
    <n v="36.200000000000003"/>
    <n v="144.80000000000001"/>
    <x v="66"/>
    <d v="2025-03-09T00:00:00"/>
    <x v="2"/>
    <x v="1"/>
    <x v="0"/>
    <x v="0"/>
    <x v="3"/>
    <x v="3"/>
    <x v="9"/>
    <x v="2"/>
  </r>
  <r>
    <s v="TX501822"/>
    <x v="6"/>
    <x v="45"/>
    <n v="83.5"/>
    <n v="7264.5"/>
    <x v="66"/>
    <d v="2025-03-10T00:00:00"/>
    <x v="0"/>
    <x v="3"/>
    <x v="0"/>
    <x v="0"/>
    <x v="3"/>
    <x v="1"/>
    <x v="9"/>
    <x v="0"/>
  </r>
  <r>
    <s v="TX501823"/>
    <x v="19"/>
    <x v="4"/>
    <n v="52.4"/>
    <n v="628.79999999999995"/>
    <x v="66"/>
    <d v="2025-03-08T00:00:00"/>
    <x v="1"/>
    <x v="2"/>
    <x v="0"/>
    <x v="0"/>
    <x v="3"/>
    <x v="7"/>
    <x v="9"/>
    <x v="1"/>
  </r>
  <r>
    <s v="TX501824"/>
    <x v="12"/>
    <x v="2"/>
    <n v="69.5"/>
    <n v="208.5"/>
    <x v="66"/>
    <d v="2025-03-09T00:00:00"/>
    <x v="3"/>
    <x v="4"/>
    <x v="0"/>
    <x v="0"/>
    <x v="3"/>
    <x v="3"/>
    <x v="9"/>
    <x v="3"/>
  </r>
  <r>
    <s v="TX501825"/>
    <x v="0"/>
    <x v="0"/>
    <n v="15.5"/>
    <n v="15.5"/>
    <x v="66"/>
    <d v="2025-03-10T00:00:00"/>
    <x v="1"/>
    <x v="0"/>
    <x v="0"/>
    <x v="0"/>
    <x v="3"/>
    <x v="1"/>
    <x v="9"/>
    <x v="1"/>
  </r>
  <r>
    <s v="TX501826"/>
    <x v="4"/>
    <x v="12"/>
    <n v="35.200000000000003"/>
    <n v="140.80000000000001"/>
    <x v="66"/>
    <d v="2025-03-09T00:00:00"/>
    <x v="2"/>
    <x v="2"/>
    <x v="2"/>
    <x v="0"/>
    <x v="3"/>
    <x v="3"/>
    <x v="9"/>
    <x v="2"/>
  </r>
  <r>
    <s v="TX501827"/>
    <x v="8"/>
    <x v="13"/>
    <n v="34.6"/>
    <n v="207.60000000000002"/>
    <x v="66"/>
    <d v="2025-03-09T00:00:00"/>
    <x v="0"/>
    <x v="0"/>
    <x v="1"/>
    <x v="0"/>
    <x v="3"/>
    <x v="3"/>
    <x v="9"/>
    <x v="0"/>
  </r>
  <r>
    <s v="TX501828"/>
    <x v="4"/>
    <x v="0"/>
    <n v="21.3"/>
    <n v="21.3"/>
    <x v="67"/>
    <d v="2025-03-10T00:00:00"/>
    <x v="1"/>
    <x v="2"/>
    <x v="1"/>
    <x v="0"/>
    <x v="3"/>
    <x v="3"/>
    <x v="10"/>
    <x v="1"/>
  </r>
  <r>
    <s v="TX501829"/>
    <x v="6"/>
    <x v="1"/>
    <n v="136.5"/>
    <n v="273"/>
    <x v="67"/>
    <d v="2025-03-15T00:00:00"/>
    <x v="2"/>
    <x v="0"/>
    <x v="0"/>
    <x v="0"/>
    <x v="37"/>
    <x v="4"/>
    <x v="10"/>
    <x v="2"/>
  </r>
  <r>
    <s v="TX501830"/>
    <x v="9"/>
    <x v="3"/>
    <n v="30.7"/>
    <n v="214.9"/>
    <x v="67"/>
    <d v="2025-03-10T00:00:00"/>
    <x v="1"/>
    <x v="2"/>
    <x v="2"/>
    <x v="0"/>
    <x v="25"/>
    <x v="3"/>
    <x v="10"/>
    <x v="1"/>
  </r>
  <r>
    <s v="TX501831"/>
    <x v="1"/>
    <x v="1"/>
    <n v="61.6"/>
    <n v="123.2"/>
    <x v="67"/>
    <d v="2025-03-10T00:00:00"/>
    <x v="2"/>
    <x v="2"/>
    <x v="2"/>
    <x v="0"/>
    <x v="23"/>
    <x v="3"/>
    <x v="10"/>
    <x v="2"/>
  </r>
  <r>
    <s v="TX501832"/>
    <x v="6"/>
    <x v="12"/>
    <n v="54.3"/>
    <n v="217.2"/>
    <x v="67"/>
    <d v="2025-03-11T00:00:00"/>
    <x v="0"/>
    <x v="4"/>
    <x v="0"/>
    <x v="0"/>
    <x v="7"/>
    <x v="1"/>
    <x v="10"/>
    <x v="0"/>
  </r>
  <r>
    <s v="TX501833"/>
    <x v="1"/>
    <x v="1"/>
    <n v="44.1"/>
    <n v="88.2"/>
    <x v="67"/>
    <d v="2025-03-21T00:00:00"/>
    <x v="2"/>
    <x v="0"/>
    <x v="2"/>
    <x v="0"/>
    <x v="8"/>
    <x v="13"/>
    <x v="10"/>
    <x v="2"/>
  </r>
  <r>
    <s v="TX501834"/>
    <x v="8"/>
    <x v="12"/>
    <n v="43.5"/>
    <n v="174"/>
    <x v="67"/>
    <d v="2025-03-15T00:00:00"/>
    <x v="1"/>
    <x v="3"/>
    <x v="0"/>
    <x v="0"/>
    <x v="8"/>
    <x v="4"/>
    <x v="10"/>
    <x v="1"/>
  </r>
  <r>
    <s v="TX501835"/>
    <x v="8"/>
    <x v="2"/>
    <n v="48.2"/>
    <n v="144.60000000000002"/>
    <x v="67"/>
    <d v="2025-03-13T00:00:00"/>
    <x v="1"/>
    <x v="3"/>
    <x v="1"/>
    <x v="0"/>
    <x v="8"/>
    <x v="5"/>
    <x v="10"/>
    <x v="1"/>
  </r>
  <r>
    <s v="TX501836"/>
    <x v="19"/>
    <x v="0"/>
    <n v="13.7"/>
    <n v="13.7"/>
    <x v="67"/>
    <d v="2025-03-10T00:00:00"/>
    <x v="2"/>
    <x v="2"/>
    <x v="2"/>
    <x v="0"/>
    <x v="8"/>
    <x v="3"/>
    <x v="10"/>
    <x v="2"/>
  </r>
  <r>
    <s v="TX501837"/>
    <x v="2"/>
    <x v="1"/>
    <n v="110.5"/>
    <n v="221"/>
    <x v="67"/>
    <d v="2025-03-10T00:00:00"/>
    <x v="2"/>
    <x v="0"/>
    <x v="1"/>
    <x v="0"/>
    <x v="8"/>
    <x v="3"/>
    <x v="10"/>
    <x v="2"/>
  </r>
  <r>
    <s v="TX501838"/>
    <x v="8"/>
    <x v="2"/>
    <n v="26"/>
    <n v="78"/>
    <x v="67"/>
    <d v="2025-03-14T00:00:00"/>
    <x v="2"/>
    <x v="1"/>
    <x v="1"/>
    <x v="0"/>
    <x v="8"/>
    <x v="0"/>
    <x v="10"/>
    <x v="2"/>
  </r>
  <r>
    <s v="TX501839"/>
    <x v="2"/>
    <x v="7"/>
    <n v="140.69999999999999"/>
    <n v="1407"/>
    <x v="67"/>
    <d v="2025-03-15T00:00:00"/>
    <x v="1"/>
    <x v="3"/>
    <x v="1"/>
    <x v="0"/>
    <x v="8"/>
    <x v="4"/>
    <x v="10"/>
    <x v="1"/>
  </r>
  <r>
    <s v="TX501840"/>
    <x v="17"/>
    <x v="1"/>
    <n v="41.7"/>
    <n v="83.4"/>
    <x v="67"/>
    <d v="2025-03-17T00:00:00"/>
    <x v="2"/>
    <x v="0"/>
    <x v="4"/>
    <x v="0"/>
    <x v="8"/>
    <x v="9"/>
    <x v="10"/>
    <x v="2"/>
  </r>
  <r>
    <s v="TX501841"/>
    <x v="2"/>
    <x v="1"/>
    <n v="135.1"/>
    <n v="270.2"/>
    <x v="67"/>
    <d v="2025-03-10T00:00:00"/>
    <x v="1"/>
    <x v="0"/>
    <x v="2"/>
    <x v="0"/>
    <x v="17"/>
    <x v="3"/>
    <x v="10"/>
    <x v="1"/>
  </r>
  <r>
    <s v="TX501842"/>
    <x v="12"/>
    <x v="32"/>
    <n v="95.5"/>
    <n v="2101"/>
    <x v="67"/>
    <d v="2025-03-10T00:00:00"/>
    <x v="2"/>
    <x v="4"/>
    <x v="4"/>
    <x v="0"/>
    <x v="26"/>
    <x v="3"/>
    <x v="10"/>
    <x v="2"/>
  </r>
  <r>
    <s v="TX501843"/>
    <x v="15"/>
    <x v="0"/>
    <n v="25.5"/>
    <n v="25.5"/>
    <x v="67"/>
    <d v="2025-03-12T00:00:00"/>
    <x v="0"/>
    <x v="2"/>
    <x v="2"/>
    <x v="0"/>
    <x v="11"/>
    <x v="2"/>
    <x v="10"/>
    <x v="0"/>
  </r>
  <r>
    <s v="TX501844"/>
    <x v="1"/>
    <x v="0"/>
    <n v="42.6"/>
    <n v="42.6"/>
    <x v="67"/>
    <d v="2025-03-13T00:00:00"/>
    <x v="2"/>
    <x v="0"/>
    <x v="0"/>
    <x v="0"/>
    <x v="11"/>
    <x v="5"/>
    <x v="10"/>
    <x v="2"/>
  </r>
  <r>
    <s v="TX501845"/>
    <x v="8"/>
    <x v="20"/>
    <n v="32.4"/>
    <n v="486"/>
    <x v="67"/>
    <d v="2025-03-10T00:00:00"/>
    <x v="1"/>
    <x v="1"/>
    <x v="1"/>
    <x v="0"/>
    <x v="11"/>
    <x v="3"/>
    <x v="10"/>
    <x v="1"/>
  </r>
  <r>
    <s v="TX501846"/>
    <x v="4"/>
    <x v="12"/>
    <n v="20.2"/>
    <n v="80.8"/>
    <x v="67"/>
    <d v="2025-03-10T00:00:00"/>
    <x v="3"/>
    <x v="2"/>
    <x v="0"/>
    <x v="0"/>
    <x v="11"/>
    <x v="3"/>
    <x v="10"/>
    <x v="3"/>
  </r>
  <r>
    <s v="TX501847"/>
    <x v="16"/>
    <x v="2"/>
    <n v="52.5"/>
    <n v="157.5"/>
    <x v="67"/>
    <d v="2025-03-14T00:00:00"/>
    <x v="2"/>
    <x v="4"/>
    <x v="0"/>
    <x v="0"/>
    <x v="18"/>
    <x v="0"/>
    <x v="10"/>
    <x v="2"/>
  </r>
  <r>
    <s v="TX501848"/>
    <x v="2"/>
    <x v="9"/>
    <n v="59.9"/>
    <n v="299.5"/>
    <x v="67"/>
    <d v="2025-03-11T00:00:00"/>
    <x v="2"/>
    <x v="2"/>
    <x v="0"/>
    <x v="0"/>
    <x v="19"/>
    <x v="1"/>
    <x v="10"/>
    <x v="2"/>
  </r>
  <r>
    <s v="TX501849"/>
    <x v="4"/>
    <x v="1"/>
    <n v="53.2"/>
    <n v="106.4"/>
    <x v="67"/>
    <d v="2025-03-10T00:00:00"/>
    <x v="2"/>
    <x v="1"/>
    <x v="3"/>
    <x v="0"/>
    <x v="20"/>
    <x v="3"/>
    <x v="10"/>
    <x v="2"/>
  </r>
  <r>
    <s v="TX501850"/>
    <x v="2"/>
    <x v="1"/>
    <n v="60"/>
    <n v="120"/>
    <x v="67"/>
    <d v="2025-03-15T00:00:00"/>
    <x v="1"/>
    <x v="1"/>
    <x v="2"/>
    <x v="0"/>
    <x v="20"/>
    <x v="4"/>
    <x v="10"/>
    <x v="1"/>
  </r>
  <r>
    <s v="TX501851"/>
    <x v="8"/>
    <x v="2"/>
    <n v="29.3"/>
    <n v="87.9"/>
    <x v="67"/>
    <d v="2025-03-10T00:00:00"/>
    <x v="2"/>
    <x v="4"/>
    <x v="0"/>
    <x v="0"/>
    <x v="13"/>
    <x v="3"/>
    <x v="10"/>
    <x v="2"/>
  </r>
  <r>
    <s v="TX501852"/>
    <x v="12"/>
    <x v="1"/>
    <n v="55.4"/>
    <n v="110.8"/>
    <x v="67"/>
    <d v="2025-03-10T00:00:00"/>
    <x v="2"/>
    <x v="0"/>
    <x v="2"/>
    <x v="0"/>
    <x v="21"/>
    <x v="3"/>
    <x v="10"/>
    <x v="2"/>
  </r>
  <r>
    <s v="TX501853"/>
    <x v="0"/>
    <x v="9"/>
    <n v="20.100000000000001"/>
    <n v="100.5"/>
    <x v="67"/>
    <d v="2025-03-11T00:00:00"/>
    <x v="2"/>
    <x v="1"/>
    <x v="2"/>
    <x v="0"/>
    <x v="21"/>
    <x v="1"/>
    <x v="10"/>
    <x v="2"/>
  </r>
  <r>
    <s v="TX501854"/>
    <x v="14"/>
    <x v="9"/>
    <n v="24"/>
    <n v="120"/>
    <x v="67"/>
    <d v="2025-03-12T00:00:00"/>
    <x v="1"/>
    <x v="2"/>
    <x v="0"/>
    <x v="0"/>
    <x v="1"/>
    <x v="2"/>
    <x v="10"/>
    <x v="1"/>
  </r>
  <r>
    <s v="TX501855"/>
    <x v="8"/>
    <x v="1"/>
    <n v="30.6"/>
    <n v="61.2"/>
    <x v="68"/>
    <d v="2025-03-12T00:00:00"/>
    <x v="2"/>
    <x v="0"/>
    <x v="0"/>
    <x v="0"/>
    <x v="1"/>
    <x v="1"/>
    <x v="10"/>
    <x v="2"/>
  </r>
  <r>
    <s v="TX501856"/>
    <x v="10"/>
    <x v="9"/>
    <n v="33"/>
    <n v="165"/>
    <x v="68"/>
    <d v="2025-03-11T00:00:00"/>
    <x v="1"/>
    <x v="1"/>
    <x v="1"/>
    <x v="0"/>
    <x v="27"/>
    <x v="3"/>
    <x v="10"/>
    <x v="1"/>
  </r>
  <r>
    <s v="TX501857"/>
    <x v="17"/>
    <x v="11"/>
    <n v="42.1"/>
    <n v="378.90000000000003"/>
    <x v="68"/>
    <d v="2025-03-16T00:00:00"/>
    <x v="2"/>
    <x v="2"/>
    <x v="0"/>
    <x v="0"/>
    <x v="44"/>
    <x v="4"/>
    <x v="10"/>
    <x v="2"/>
  </r>
  <r>
    <s v="TX501858"/>
    <x v="6"/>
    <x v="3"/>
    <n v="77.7"/>
    <n v="543.9"/>
    <x v="68"/>
    <d v="2025-03-15T00:00:00"/>
    <x v="2"/>
    <x v="1"/>
    <x v="2"/>
    <x v="0"/>
    <x v="50"/>
    <x v="0"/>
    <x v="10"/>
    <x v="2"/>
  </r>
  <r>
    <s v="TX501859"/>
    <x v="17"/>
    <x v="13"/>
    <n v="22.7"/>
    <n v="136.19999999999999"/>
    <x v="68"/>
    <d v="2025-03-13T00:00:00"/>
    <x v="2"/>
    <x v="2"/>
    <x v="0"/>
    <x v="0"/>
    <x v="3"/>
    <x v="2"/>
    <x v="10"/>
    <x v="2"/>
  </r>
  <r>
    <s v="TX501860"/>
    <x v="2"/>
    <x v="1"/>
    <n v="133"/>
    <n v="266"/>
    <x v="68"/>
    <d v="2025-03-10T00:00:00"/>
    <x v="1"/>
    <x v="2"/>
    <x v="2"/>
    <x v="0"/>
    <x v="3"/>
    <x v="7"/>
    <x v="10"/>
    <x v="1"/>
  </r>
  <r>
    <s v="TX501861"/>
    <x v="0"/>
    <x v="1"/>
    <n v="23.3"/>
    <n v="46.6"/>
    <x v="68"/>
    <d v="2025-03-11T00:00:00"/>
    <x v="1"/>
    <x v="1"/>
    <x v="2"/>
    <x v="0"/>
    <x v="3"/>
    <x v="3"/>
    <x v="10"/>
    <x v="1"/>
  </r>
  <r>
    <s v="TX501862"/>
    <x v="8"/>
    <x v="2"/>
    <n v="20.7"/>
    <n v="62.099999999999994"/>
    <x v="68"/>
    <d v="2025-03-12T00:00:00"/>
    <x v="3"/>
    <x v="0"/>
    <x v="2"/>
    <x v="0"/>
    <x v="3"/>
    <x v="1"/>
    <x v="10"/>
    <x v="3"/>
  </r>
  <r>
    <s v="TX501863"/>
    <x v="12"/>
    <x v="1"/>
    <n v="47"/>
    <n v="94"/>
    <x v="68"/>
    <d v="2025-03-11T00:00:00"/>
    <x v="1"/>
    <x v="1"/>
    <x v="2"/>
    <x v="0"/>
    <x v="3"/>
    <x v="3"/>
    <x v="10"/>
    <x v="1"/>
  </r>
  <r>
    <s v="TX501864"/>
    <x v="12"/>
    <x v="2"/>
    <n v="38.200000000000003"/>
    <n v="114.60000000000001"/>
    <x v="68"/>
    <d v="2025-03-12T00:00:00"/>
    <x v="2"/>
    <x v="2"/>
    <x v="4"/>
    <x v="0"/>
    <x v="3"/>
    <x v="1"/>
    <x v="10"/>
    <x v="2"/>
  </r>
  <r>
    <s v="TX501865"/>
    <x v="9"/>
    <x v="0"/>
    <n v="39.1"/>
    <n v="39.1"/>
    <x v="68"/>
    <d v="2025-03-12T00:00:00"/>
    <x v="2"/>
    <x v="0"/>
    <x v="0"/>
    <x v="0"/>
    <x v="3"/>
    <x v="1"/>
    <x v="10"/>
    <x v="2"/>
  </r>
  <r>
    <s v="TX501866"/>
    <x v="7"/>
    <x v="30"/>
    <n v="55.6"/>
    <n v="1390"/>
    <x v="68"/>
    <d v="2025-03-12T00:00:00"/>
    <x v="1"/>
    <x v="0"/>
    <x v="2"/>
    <x v="0"/>
    <x v="3"/>
    <x v="1"/>
    <x v="10"/>
    <x v="1"/>
  </r>
  <r>
    <s v="TX501867"/>
    <x v="15"/>
    <x v="0"/>
    <n v="43.1"/>
    <n v="43.1"/>
    <x v="68"/>
    <d v="2025-03-10T00:00:00"/>
    <x v="3"/>
    <x v="1"/>
    <x v="2"/>
    <x v="0"/>
    <x v="3"/>
    <x v="7"/>
    <x v="10"/>
    <x v="3"/>
  </r>
  <r>
    <s v="TX501868"/>
    <x v="6"/>
    <x v="12"/>
    <n v="48.1"/>
    <n v="192.4"/>
    <x v="68"/>
    <d v="2025-03-11T00:00:00"/>
    <x v="2"/>
    <x v="4"/>
    <x v="2"/>
    <x v="0"/>
    <x v="3"/>
    <x v="3"/>
    <x v="10"/>
    <x v="2"/>
  </r>
  <r>
    <s v="TX501869"/>
    <x v="4"/>
    <x v="0"/>
    <n v="42"/>
    <n v="42"/>
    <x v="68"/>
    <d v="2025-03-11T00:00:00"/>
    <x v="3"/>
    <x v="0"/>
    <x v="0"/>
    <x v="0"/>
    <x v="3"/>
    <x v="3"/>
    <x v="10"/>
    <x v="3"/>
  </r>
  <r>
    <s v="TX501870"/>
    <x v="8"/>
    <x v="9"/>
    <n v="18.3"/>
    <n v="91.5"/>
    <x v="68"/>
    <d v="2025-03-10T00:00:00"/>
    <x v="2"/>
    <x v="2"/>
    <x v="0"/>
    <x v="0"/>
    <x v="3"/>
    <x v="7"/>
    <x v="10"/>
    <x v="2"/>
  </r>
  <r>
    <s v="TX501871"/>
    <x v="10"/>
    <x v="12"/>
    <n v="45.3"/>
    <n v="181.2"/>
    <x v="68"/>
    <d v="2025-03-13T00:00:00"/>
    <x v="2"/>
    <x v="0"/>
    <x v="2"/>
    <x v="0"/>
    <x v="3"/>
    <x v="2"/>
    <x v="10"/>
    <x v="2"/>
  </r>
  <r>
    <s v="TX501872"/>
    <x v="0"/>
    <x v="1"/>
    <n v="27.6"/>
    <n v="55.2"/>
    <x v="68"/>
    <d v="2025-03-12T00:00:00"/>
    <x v="1"/>
    <x v="0"/>
    <x v="2"/>
    <x v="0"/>
    <x v="37"/>
    <x v="1"/>
    <x v="10"/>
    <x v="1"/>
  </r>
  <r>
    <s v="TX501873"/>
    <x v="4"/>
    <x v="9"/>
    <n v="26.9"/>
    <n v="134.5"/>
    <x v="68"/>
    <d v="2025-03-11T00:00:00"/>
    <x v="2"/>
    <x v="2"/>
    <x v="0"/>
    <x v="0"/>
    <x v="25"/>
    <x v="3"/>
    <x v="10"/>
    <x v="2"/>
  </r>
  <r>
    <s v="TX501874"/>
    <x v="2"/>
    <x v="11"/>
    <n v="82.4"/>
    <n v="741.6"/>
    <x v="68"/>
    <d v="2025-03-12T00:00:00"/>
    <x v="3"/>
    <x v="2"/>
    <x v="0"/>
    <x v="0"/>
    <x v="5"/>
    <x v="1"/>
    <x v="10"/>
    <x v="3"/>
  </r>
  <r>
    <s v="TX501875"/>
    <x v="6"/>
    <x v="0"/>
    <n v="103.7"/>
    <n v="103.7"/>
    <x v="68"/>
    <d v="2025-03-12T00:00:00"/>
    <x v="2"/>
    <x v="1"/>
    <x v="0"/>
    <x v="0"/>
    <x v="5"/>
    <x v="1"/>
    <x v="10"/>
    <x v="2"/>
  </r>
  <r>
    <s v="TX501876"/>
    <x v="2"/>
    <x v="1"/>
    <n v="58.8"/>
    <n v="117.6"/>
    <x v="68"/>
    <d v="2025-03-15T00:00:00"/>
    <x v="2"/>
    <x v="1"/>
    <x v="2"/>
    <x v="0"/>
    <x v="6"/>
    <x v="0"/>
    <x v="10"/>
    <x v="2"/>
  </r>
  <r>
    <s v="TX501877"/>
    <x v="13"/>
    <x v="0"/>
    <n v="31.5"/>
    <n v="31.5"/>
    <x v="68"/>
    <d v="2025-03-11T00:00:00"/>
    <x v="2"/>
    <x v="1"/>
    <x v="1"/>
    <x v="0"/>
    <x v="6"/>
    <x v="3"/>
    <x v="10"/>
    <x v="2"/>
  </r>
  <r>
    <s v="TX501878"/>
    <x v="7"/>
    <x v="9"/>
    <n v="36.799999999999997"/>
    <n v="184"/>
    <x v="68"/>
    <d v="2025-03-12T00:00:00"/>
    <x v="2"/>
    <x v="0"/>
    <x v="0"/>
    <x v="0"/>
    <x v="8"/>
    <x v="1"/>
    <x v="10"/>
    <x v="2"/>
  </r>
  <r>
    <s v="TX501879"/>
    <x v="3"/>
    <x v="0"/>
    <n v="84.4"/>
    <n v="84.4"/>
    <x v="68"/>
    <d v="2025-03-11T00:00:00"/>
    <x v="2"/>
    <x v="0"/>
    <x v="0"/>
    <x v="0"/>
    <x v="8"/>
    <x v="3"/>
    <x v="10"/>
    <x v="2"/>
  </r>
  <r>
    <s v="TX501880"/>
    <x v="14"/>
    <x v="0"/>
    <n v="44.7"/>
    <n v="44.7"/>
    <x v="68"/>
    <d v="2025-03-11T00:00:00"/>
    <x v="1"/>
    <x v="0"/>
    <x v="1"/>
    <x v="0"/>
    <x v="8"/>
    <x v="3"/>
    <x v="10"/>
    <x v="1"/>
  </r>
  <r>
    <s v="TX501881"/>
    <x v="9"/>
    <x v="8"/>
    <n v="39.4"/>
    <n v="315.2"/>
    <x v="68"/>
    <d v="2025-03-11T00:00:00"/>
    <x v="2"/>
    <x v="1"/>
    <x v="2"/>
    <x v="0"/>
    <x v="8"/>
    <x v="3"/>
    <x v="10"/>
    <x v="2"/>
  </r>
  <r>
    <s v="TX501882"/>
    <x v="11"/>
    <x v="12"/>
    <n v="34.9"/>
    <n v="139.6"/>
    <x v="68"/>
    <d v="2025-03-12T00:00:00"/>
    <x v="2"/>
    <x v="0"/>
    <x v="2"/>
    <x v="0"/>
    <x v="8"/>
    <x v="1"/>
    <x v="10"/>
    <x v="2"/>
  </r>
  <r>
    <s v="TX501883"/>
    <x v="1"/>
    <x v="2"/>
    <n v="62.3"/>
    <n v="186.89999999999998"/>
    <x v="68"/>
    <d v="2025-03-12T00:00:00"/>
    <x v="1"/>
    <x v="4"/>
    <x v="2"/>
    <x v="0"/>
    <x v="8"/>
    <x v="1"/>
    <x v="10"/>
    <x v="1"/>
  </r>
  <r>
    <s v="TX501884"/>
    <x v="8"/>
    <x v="12"/>
    <n v="21.1"/>
    <n v="84.4"/>
    <x v="68"/>
    <d v="2025-03-13T00:00:00"/>
    <x v="1"/>
    <x v="3"/>
    <x v="0"/>
    <x v="0"/>
    <x v="8"/>
    <x v="2"/>
    <x v="10"/>
    <x v="1"/>
  </r>
  <r>
    <s v="TX501885"/>
    <x v="8"/>
    <x v="2"/>
    <n v="33.200000000000003"/>
    <n v="99.600000000000009"/>
    <x v="68"/>
    <d v="2025-03-24T00:00:00"/>
    <x v="0"/>
    <x v="0"/>
    <x v="4"/>
    <x v="0"/>
    <x v="8"/>
    <x v="12"/>
    <x v="10"/>
    <x v="0"/>
  </r>
  <r>
    <s v="TX501886"/>
    <x v="1"/>
    <x v="12"/>
    <n v="74.5"/>
    <n v="298"/>
    <x v="68"/>
    <d v="2025-03-11T00:00:00"/>
    <x v="1"/>
    <x v="4"/>
    <x v="0"/>
    <x v="0"/>
    <x v="8"/>
    <x v="3"/>
    <x v="10"/>
    <x v="1"/>
  </r>
  <r>
    <s v="TX501887"/>
    <x v="10"/>
    <x v="4"/>
    <n v="68.599999999999994"/>
    <n v="823.19999999999993"/>
    <x v="68"/>
    <d v="2025-03-13T00:00:00"/>
    <x v="2"/>
    <x v="0"/>
    <x v="2"/>
    <x v="0"/>
    <x v="8"/>
    <x v="2"/>
    <x v="10"/>
    <x v="2"/>
  </r>
  <r>
    <s v="TX501888"/>
    <x v="5"/>
    <x v="21"/>
    <n v="36.4"/>
    <n v="509.59999999999997"/>
    <x v="68"/>
    <d v="2025-03-12T00:00:00"/>
    <x v="2"/>
    <x v="0"/>
    <x v="1"/>
    <x v="0"/>
    <x v="9"/>
    <x v="1"/>
    <x v="10"/>
    <x v="2"/>
  </r>
  <r>
    <s v="TX501889"/>
    <x v="16"/>
    <x v="9"/>
    <n v="67.599999999999994"/>
    <n v="338"/>
    <x v="69"/>
    <d v="2025-03-14T00:00:00"/>
    <x v="2"/>
    <x v="4"/>
    <x v="1"/>
    <x v="0"/>
    <x v="9"/>
    <x v="2"/>
    <x v="10"/>
    <x v="2"/>
  </r>
  <r>
    <s v="TX501890"/>
    <x v="15"/>
    <x v="0"/>
    <n v="46.3"/>
    <n v="46.3"/>
    <x v="69"/>
    <d v="2025-03-12T00:00:00"/>
    <x v="1"/>
    <x v="2"/>
    <x v="0"/>
    <x v="0"/>
    <x v="9"/>
    <x v="3"/>
    <x v="10"/>
    <x v="1"/>
  </r>
  <r>
    <s v="TX501891"/>
    <x v="1"/>
    <x v="2"/>
    <n v="124.2"/>
    <n v="372.6"/>
    <x v="69"/>
    <d v="2025-03-13T00:00:00"/>
    <x v="2"/>
    <x v="1"/>
    <x v="2"/>
    <x v="0"/>
    <x v="11"/>
    <x v="1"/>
    <x v="10"/>
    <x v="2"/>
  </r>
  <r>
    <s v="TX501892"/>
    <x v="10"/>
    <x v="1"/>
    <n v="37"/>
    <n v="74"/>
    <x v="69"/>
    <d v="2025-03-17T00:00:00"/>
    <x v="1"/>
    <x v="0"/>
    <x v="0"/>
    <x v="0"/>
    <x v="11"/>
    <x v="4"/>
    <x v="10"/>
    <x v="1"/>
  </r>
  <r>
    <s v="TX501893"/>
    <x v="5"/>
    <x v="0"/>
    <n v="41.8"/>
    <n v="41.8"/>
    <x v="69"/>
    <d v="2025-03-12T00:00:00"/>
    <x v="1"/>
    <x v="2"/>
    <x v="0"/>
    <x v="0"/>
    <x v="31"/>
    <x v="3"/>
    <x v="10"/>
    <x v="1"/>
  </r>
  <r>
    <s v="TX501894"/>
    <x v="9"/>
    <x v="1"/>
    <n v="57.2"/>
    <n v="114.4"/>
    <x v="69"/>
    <d v="2025-03-13T00:00:00"/>
    <x v="1"/>
    <x v="2"/>
    <x v="1"/>
    <x v="0"/>
    <x v="20"/>
    <x v="1"/>
    <x v="10"/>
    <x v="1"/>
  </r>
  <r>
    <s v="TX501895"/>
    <x v="6"/>
    <x v="1"/>
    <n v="47.1"/>
    <n v="94.2"/>
    <x v="69"/>
    <d v="2025-03-13T00:00:00"/>
    <x v="2"/>
    <x v="0"/>
    <x v="4"/>
    <x v="0"/>
    <x v="20"/>
    <x v="1"/>
    <x v="10"/>
    <x v="2"/>
  </r>
  <r>
    <s v="TX501896"/>
    <x v="5"/>
    <x v="2"/>
    <n v="86.4"/>
    <n v="259.20000000000005"/>
    <x v="69"/>
    <d v="2025-03-12T00:00:00"/>
    <x v="1"/>
    <x v="2"/>
    <x v="1"/>
    <x v="0"/>
    <x v="52"/>
    <x v="3"/>
    <x v="10"/>
    <x v="1"/>
  </r>
  <r>
    <s v="TX501897"/>
    <x v="6"/>
    <x v="9"/>
    <n v="105"/>
    <n v="525"/>
    <x v="69"/>
    <d v="2025-03-14T00:00:00"/>
    <x v="1"/>
    <x v="0"/>
    <x v="0"/>
    <x v="0"/>
    <x v="13"/>
    <x v="2"/>
    <x v="10"/>
    <x v="1"/>
  </r>
  <r>
    <s v="TX501898"/>
    <x v="18"/>
    <x v="0"/>
    <n v="33"/>
    <n v="33"/>
    <x v="69"/>
    <d v="2025-03-14T00:00:00"/>
    <x v="1"/>
    <x v="4"/>
    <x v="0"/>
    <x v="0"/>
    <x v="21"/>
    <x v="2"/>
    <x v="10"/>
    <x v="1"/>
  </r>
  <r>
    <s v="TX501899"/>
    <x v="6"/>
    <x v="9"/>
    <n v="106.6"/>
    <n v="533"/>
    <x v="69"/>
    <d v="2025-03-24T00:00:00"/>
    <x v="2"/>
    <x v="2"/>
    <x v="0"/>
    <x v="0"/>
    <x v="1"/>
    <x v="10"/>
    <x v="10"/>
    <x v="2"/>
  </r>
  <r>
    <s v="TX501900"/>
    <x v="10"/>
    <x v="46"/>
    <n v="26.8"/>
    <n v="857.6"/>
    <x v="69"/>
    <d v="2025-03-12T00:00:00"/>
    <x v="2"/>
    <x v="2"/>
    <x v="0"/>
    <x v="0"/>
    <x v="1"/>
    <x v="3"/>
    <x v="10"/>
    <x v="2"/>
  </r>
  <r>
    <s v="TX501901"/>
    <x v="17"/>
    <x v="9"/>
    <n v="25.8"/>
    <n v="129"/>
    <x v="69"/>
    <d v="2025-03-11T00:00:00"/>
    <x v="2"/>
    <x v="1"/>
    <x v="2"/>
    <x v="0"/>
    <x v="3"/>
    <x v="7"/>
    <x v="10"/>
    <x v="2"/>
  </r>
  <r>
    <s v="TX501902"/>
    <x v="2"/>
    <x v="2"/>
    <n v="217"/>
    <n v="651"/>
    <x v="69"/>
    <d v="2025-03-12T00:00:00"/>
    <x v="2"/>
    <x v="1"/>
    <x v="1"/>
    <x v="0"/>
    <x v="3"/>
    <x v="3"/>
    <x v="10"/>
    <x v="2"/>
  </r>
  <r>
    <s v="TX501903"/>
    <x v="2"/>
    <x v="1"/>
    <n v="97.3"/>
    <n v="194.6"/>
    <x v="69"/>
    <d v="2025-03-12T00:00:00"/>
    <x v="1"/>
    <x v="2"/>
    <x v="4"/>
    <x v="0"/>
    <x v="3"/>
    <x v="3"/>
    <x v="10"/>
    <x v="1"/>
  </r>
  <r>
    <s v="TX501904"/>
    <x v="1"/>
    <x v="0"/>
    <n v="49.8"/>
    <n v="49.8"/>
    <x v="69"/>
    <d v="2025-03-12T00:00:00"/>
    <x v="2"/>
    <x v="0"/>
    <x v="0"/>
    <x v="0"/>
    <x v="3"/>
    <x v="3"/>
    <x v="10"/>
    <x v="2"/>
  </r>
  <r>
    <s v="TX501905"/>
    <x v="12"/>
    <x v="9"/>
    <n v="32.6"/>
    <n v="163"/>
    <x v="69"/>
    <d v="2025-03-12T00:00:00"/>
    <x v="2"/>
    <x v="0"/>
    <x v="0"/>
    <x v="0"/>
    <x v="3"/>
    <x v="3"/>
    <x v="10"/>
    <x v="2"/>
  </r>
  <r>
    <s v="TX501906"/>
    <x v="9"/>
    <x v="1"/>
    <n v="40.1"/>
    <n v="80.2"/>
    <x v="69"/>
    <d v="2025-03-14T00:00:00"/>
    <x v="1"/>
    <x v="1"/>
    <x v="2"/>
    <x v="0"/>
    <x v="3"/>
    <x v="2"/>
    <x v="10"/>
    <x v="1"/>
  </r>
  <r>
    <s v="TX501907"/>
    <x v="10"/>
    <x v="1"/>
    <n v="49.4"/>
    <n v="98.8"/>
    <x v="69"/>
    <d v="2025-03-13T00:00:00"/>
    <x v="1"/>
    <x v="1"/>
    <x v="0"/>
    <x v="0"/>
    <x v="3"/>
    <x v="1"/>
    <x v="10"/>
    <x v="1"/>
  </r>
  <r>
    <s v="TX501908"/>
    <x v="2"/>
    <x v="0"/>
    <n v="67.3"/>
    <n v="67.3"/>
    <x v="69"/>
    <d v="2025-03-12T00:00:00"/>
    <x v="2"/>
    <x v="0"/>
    <x v="2"/>
    <x v="0"/>
    <x v="3"/>
    <x v="3"/>
    <x v="10"/>
    <x v="2"/>
  </r>
  <r>
    <s v="TX501909"/>
    <x v="18"/>
    <x v="12"/>
    <n v="44.5"/>
    <n v="178"/>
    <x v="69"/>
    <d v="2025-03-14T00:00:00"/>
    <x v="0"/>
    <x v="1"/>
    <x v="0"/>
    <x v="0"/>
    <x v="3"/>
    <x v="2"/>
    <x v="10"/>
    <x v="0"/>
  </r>
  <r>
    <s v="TX501910"/>
    <x v="6"/>
    <x v="5"/>
    <n v="111.1"/>
    <n v="1222.0999999999999"/>
    <x v="69"/>
    <d v="2025-03-12T00:00:00"/>
    <x v="2"/>
    <x v="4"/>
    <x v="0"/>
    <x v="0"/>
    <x v="3"/>
    <x v="3"/>
    <x v="10"/>
    <x v="2"/>
  </r>
  <r>
    <s v="TX501911"/>
    <x v="8"/>
    <x v="2"/>
    <n v="19.7"/>
    <n v="59.099999999999994"/>
    <x v="69"/>
    <d v="2025-03-12T00:00:00"/>
    <x v="2"/>
    <x v="4"/>
    <x v="4"/>
    <x v="0"/>
    <x v="3"/>
    <x v="3"/>
    <x v="10"/>
    <x v="2"/>
  </r>
  <r>
    <s v="TX501912"/>
    <x v="1"/>
    <x v="0"/>
    <n v="40.299999999999997"/>
    <n v="40.299999999999997"/>
    <x v="69"/>
    <d v="2025-03-12T00:00:00"/>
    <x v="3"/>
    <x v="1"/>
    <x v="0"/>
    <x v="0"/>
    <x v="3"/>
    <x v="3"/>
    <x v="10"/>
    <x v="3"/>
  </r>
  <r>
    <s v="TX501913"/>
    <x v="6"/>
    <x v="1"/>
    <n v="108.8"/>
    <n v="217.6"/>
    <x v="69"/>
    <d v="2025-03-16T00:00:00"/>
    <x v="1"/>
    <x v="0"/>
    <x v="2"/>
    <x v="0"/>
    <x v="6"/>
    <x v="0"/>
    <x v="10"/>
    <x v="1"/>
  </r>
  <r>
    <s v="TX501914"/>
    <x v="8"/>
    <x v="2"/>
    <n v="48.2"/>
    <n v="144.60000000000002"/>
    <x v="69"/>
    <d v="2025-03-16T00:00:00"/>
    <x v="2"/>
    <x v="4"/>
    <x v="0"/>
    <x v="0"/>
    <x v="7"/>
    <x v="0"/>
    <x v="10"/>
    <x v="2"/>
  </r>
  <r>
    <s v="TX501915"/>
    <x v="2"/>
    <x v="2"/>
    <n v="104.7"/>
    <n v="314.10000000000002"/>
    <x v="69"/>
    <d v="2025-03-13T00:00:00"/>
    <x v="2"/>
    <x v="0"/>
    <x v="1"/>
    <x v="0"/>
    <x v="7"/>
    <x v="1"/>
    <x v="10"/>
    <x v="2"/>
  </r>
  <r>
    <s v="TX501916"/>
    <x v="1"/>
    <x v="1"/>
    <n v="80.599999999999994"/>
    <n v="161.19999999999999"/>
    <x v="69"/>
    <d v="2025-03-11T00:00:00"/>
    <x v="2"/>
    <x v="1"/>
    <x v="0"/>
    <x v="0"/>
    <x v="8"/>
    <x v="7"/>
    <x v="10"/>
    <x v="2"/>
  </r>
  <r>
    <s v="TX501917"/>
    <x v="6"/>
    <x v="0"/>
    <n v="65.5"/>
    <n v="65.5"/>
    <x v="69"/>
    <d v="2025-03-13T00:00:00"/>
    <x v="3"/>
    <x v="1"/>
    <x v="0"/>
    <x v="0"/>
    <x v="8"/>
    <x v="1"/>
    <x v="10"/>
    <x v="3"/>
  </r>
  <r>
    <s v="TX501918"/>
    <x v="9"/>
    <x v="2"/>
    <n v="61.4"/>
    <n v="184.2"/>
    <x v="69"/>
    <d v="2025-03-13T00:00:00"/>
    <x v="2"/>
    <x v="4"/>
    <x v="2"/>
    <x v="0"/>
    <x v="8"/>
    <x v="1"/>
    <x v="10"/>
    <x v="2"/>
  </r>
  <r>
    <s v="TX501919"/>
    <x v="0"/>
    <x v="0"/>
    <n v="12.5"/>
    <n v="12.5"/>
    <x v="70"/>
    <d v="2025-03-15T00:00:00"/>
    <x v="2"/>
    <x v="0"/>
    <x v="1"/>
    <x v="0"/>
    <x v="8"/>
    <x v="2"/>
    <x v="10"/>
    <x v="2"/>
  </r>
  <r>
    <s v="TX501920"/>
    <x v="4"/>
    <x v="12"/>
    <n v="35.1"/>
    <n v="140.4"/>
    <x v="70"/>
    <d v="2025-03-13T00:00:00"/>
    <x v="1"/>
    <x v="2"/>
    <x v="1"/>
    <x v="0"/>
    <x v="17"/>
    <x v="3"/>
    <x v="10"/>
    <x v="1"/>
  </r>
  <r>
    <s v="TX501921"/>
    <x v="5"/>
    <x v="1"/>
    <n v="55.7"/>
    <n v="111.4"/>
    <x v="70"/>
    <d v="2025-03-13T00:00:00"/>
    <x v="1"/>
    <x v="0"/>
    <x v="1"/>
    <x v="0"/>
    <x v="26"/>
    <x v="3"/>
    <x v="10"/>
    <x v="1"/>
  </r>
  <r>
    <s v="TX501922"/>
    <x v="7"/>
    <x v="1"/>
    <n v="57.7"/>
    <n v="115.4"/>
    <x v="70"/>
    <d v="2025-03-14T00:00:00"/>
    <x v="1"/>
    <x v="4"/>
    <x v="1"/>
    <x v="0"/>
    <x v="9"/>
    <x v="1"/>
    <x v="10"/>
    <x v="1"/>
  </r>
  <r>
    <s v="TX501923"/>
    <x v="2"/>
    <x v="13"/>
    <n v="85.7"/>
    <n v="514.20000000000005"/>
    <x v="70"/>
    <d v="2025-03-13T00:00:00"/>
    <x v="1"/>
    <x v="3"/>
    <x v="2"/>
    <x v="0"/>
    <x v="9"/>
    <x v="3"/>
    <x v="10"/>
    <x v="1"/>
  </r>
  <r>
    <s v="TX501924"/>
    <x v="2"/>
    <x v="2"/>
    <n v="86.9"/>
    <n v="260.70000000000005"/>
    <x v="70"/>
    <d v="2025-03-14T00:00:00"/>
    <x v="2"/>
    <x v="1"/>
    <x v="0"/>
    <x v="0"/>
    <x v="11"/>
    <x v="1"/>
    <x v="10"/>
    <x v="2"/>
  </r>
  <r>
    <s v="TX501925"/>
    <x v="18"/>
    <x v="1"/>
    <n v="46.4"/>
    <n v="92.8"/>
    <x v="70"/>
    <d v="2025-03-15T00:00:00"/>
    <x v="2"/>
    <x v="4"/>
    <x v="0"/>
    <x v="0"/>
    <x v="11"/>
    <x v="2"/>
    <x v="10"/>
    <x v="2"/>
  </r>
  <r>
    <s v="TX501926"/>
    <x v="5"/>
    <x v="2"/>
    <n v="25.4"/>
    <n v="76.199999999999989"/>
    <x v="70"/>
    <d v="2025-03-12T00:00:00"/>
    <x v="2"/>
    <x v="2"/>
    <x v="2"/>
    <x v="0"/>
    <x v="18"/>
    <x v="7"/>
    <x v="10"/>
    <x v="2"/>
  </r>
  <r>
    <s v="TX501927"/>
    <x v="10"/>
    <x v="2"/>
    <n v="47.8"/>
    <n v="143.39999999999998"/>
    <x v="70"/>
    <d v="2025-03-12T00:00:00"/>
    <x v="0"/>
    <x v="2"/>
    <x v="2"/>
    <x v="0"/>
    <x v="19"/>
    <x v="7"/>
    <x v="10"/>
    <x v="0"/>
  </r>
  <r>
    <s v="TX501928"/>
    <x v="8"/>
    <x v="10"/>
    <n v="18.399999999999999"/>
    <n v="349.59999999999997"/>
    <x v="70"/>
    <d v="2025-03-14T00:00:00"/>
    <x v="3"/>
    <x v="2"/>
    <x v="0"/>
    <x v="0"/>
    <x v="20"/>
    <x v="1"/>
    <x v="10"/>
    <x v="3"/>
  </r>
  <r>
    <s v="TX501929"/>
    <x v="12"/>
    <x v="2"/>
    <n v="65.5"/>
    <n v="196.5"/>
    <x v="70"/>
    <d v="2025-03-20T00:00:00"/>
    <x v="2"/>
    <x v="0"/>
    <x v="0"/>
    <x v="0"/>
    <x v="21"/>
    <x v="9"/>
    <x v="10"/>
    <x v="2"/>
  </r>
  <r>
    <s v="TX501930"/>
    <x v="10"/>
    <x v="1"/>
    <n v="50.6"/>
    <n v="101.2"/>
    <x v="70"/>
    <d v="2025-03-15T00:00:00"/>
    <x v="1"/>
    <x v="2"/>
    <x v="4"/>
    <x v="0"/>
    <x v="21"/>
    <x v="2"/>
    <x v="10"/>
    <x v="1"/>
  </r>
  <r>
    <s v="TX501931"/>
    <x v="3"/>
    <x v="9"/>
    <n v="69"/>
    <n v="345"/>
    <x v="70"/>
    <d v="2025-03-16T00:00:00"/>
    <x v="1"/>
    <x v="3"/>
    <x v="0"/>
    <x v="0"/>
    <x v="21"/>
    <x v="5"/>
    <x v="10"/>
    <x v="1"/>
  </r>
  <r>
    <s v="TX501932"/>
    <x v="9"/>
    <x v="8"/>
    <n v="51.1"/>
    <n v="408.8"/>
    <x v="70"/>
    <d v="2025-03-14T00:00:00"/>
    <x v="2"/>
    <x v="0"/>
    <x v="0"/>
    <x v="0"/>
    <x v="1"/>
    <x v="1"/>
    <x v="10"/>
    <x v="2"/>
  </r>
  <r>
    <s v="TX501933"/>
    <x v="9"/>
    <x v="0"/>
    <n v="36.1"/>
    <n v="36.1"/>
    <x v="70"/>
    <d v="2025-03-13T00:00:00"/>
    <x v="2"/>
    <x v="0"/>
    <x v="2"/>
    <x v="0"/>
    <x v="34"/>
    <x v="3"/>
    <x v="10"/>
    <x v="2"/>
  </r>
  <r>
    <s v="TX501934"/>
    <x v="14"/>
    <x v="0"/>
    <n v="18.7"/>
    <n v="18.7"/>
    <x v="70"/>
    <d v="2025-03-13T00:00:00"/>
    <x v="1"/>
    <x v="0"/>
    <x v="0"/>
    <x v="0"/>
    <x v="3"/>
    <x v="3"/>
    <x v="10"/>
    <x v="1"/>
  </r>
  <r>
    <s v="TX501935"/>
    <x v="17"/>
    <x v="0"/>
    <n v="30.1"/>
    <n v="30.1"/>
    <x v="70"/>
    <d v="2025-03-15T00:00:00"/>
    <x v="2"/>
    <x v="3"/>
    <x v="1"/>
    <x v="0"/>
    <x v="3"/>
    <x v="2"/>
    <x v="10"/>
    <x v="2"/>
  </r>
  <r>
    <s v="TX501936"/>
    <x v="8"/>
    <x v="0"/>
    <n v="16.3"/>
    <n v="16.3"/>
    <x v="70"/>
    <d v="2025-03-13T00:00:00"/>
    <x v="1"/>
    <x v="3"/>
    <x v="0"/>
    <x v="0"/>
    <x v="3"/>
    <x v="3"/>
    <x v="10"/>
    <x v="1"/>
  </r>
  <r>
    <s v="TX501937"/>
    <x v="1"/>
    <x v="2"/>
    <n v="63.8"/>
    <n v="191.39999999999998"/>
    <x v="70"/>
    <d v="2025-03-17T00:00:00"/>
    <x v="2"/>
    <x v="2"/>
    <x v="1"/>
    <x v="0"/>
    <x v="3"/>
    <x v="0"/>
    <x v="10"/>
    <x v="2"/>
  </r>
  <r>
    <s v="TX501938"/>
    <x v="1"/>
    <x v="3"/>
    <n v="73.900000000000006"/>
    <n v="517.30000000000007"/>
    <x v="70"/>
    <d v="2025-03-12T00:00:00"/>
    <x v="2"/>
    <x v="0"/>
    <x v="1"/>
    <x v="0"/>
    <x v="3"/>
    <x v="7"/>
    <x v="10"/>
    <x v="2"/>
  </r>
  <r>
    <s v="TX501939"/>
    <x v="0"/>
    <x v="1"/>
    <n v="20.2"/>
    <n v="40.4"/>
    <x v="70"/>
    <d v="2025-03-13T00:00:00"/>
    <x v="1"/>
    <x v="0"/>
    <x v="1"/>
    <x v="0"/>
    <x v="3"/>
    <x v="3"/>
    <x v="10"/>
    <x v="1"/>
  </r>
  <r>
    <s v="TX501940"/>
    <x v="11"/>
    <x v="5"/>
    <n v="29.5"/>
    <n v="324.5"/>
    <x v="70"/>
    <d v="2025-03-13T00:00:00"/>
    <x v="1"/>
    <x v="0"/>
    <x v="0"/>
    <x v="0"/>
    <x v="3"/>
    <x v="3"/>
    <x v="10"/>
    <x v="1"/>
  </r>
  <r>
    <s v="TX501941"/>
    <x v="15"/>
    <x v="3"/>
    <n v="37.9"/>
    <n v="265.3"/>
    <x v="70"/>
    <d v="2025-03-13T00:00:00"/>
    <x v="1"/>
    <x v="1"/>
    <x v="0"/>
    <x v="0"/>
    <x v="3"/>
    <x v="3"/>
    <x v="10"/>
    <x v="1"/>
  </r>
  <r>
    <s v="TX501942"/>
    <x v="2"/>
    <x v="0"/>
    <n v="56.5"/>
    <n v="56.5"/>
    <x v="70"/>
    <d v="2025-03-13T00:00:00"/>
    <x v="2"/>
    <x v="2"/>
    <x v="1"/>
    <x v="0"/>
    <x v="3"/>
    <x v="3"/>
    <x v="10"/>
    <x v="2"/>
  </r>
  <r>
    <s v="TX501943"/>
    <x v="2"/>
    <x v="1"/>
    <n v="66.900000000000006"/>
    <n v="133.80000000000001"/>
    <x v="70"/>
    <d v="2025-03-18T00:00:00"/>
    <x v="1"/>
    <x v="1"/>
    <x v="4"/>
    <x v="0"/>
    <x v="25"/>
    <x v="4"/>
    <x v="10"/>
    <x v="1"/>
  </r>
  <r>
    <s v="TX501944"/>
    <x v="2"/>
    <x v="9"/>
    <n v="51.9"/>
    <n v="259.5"/>
    <x v="70"/>
    <d v="2025-03-15T00:00:00"/>
    <x v="1"/>
    <x v="1"/>
    <x v="0"/>
    <x v="0"/>
    <x v="7"/>
    <x v="2"/>
    <x v="10"/>
    <x v="1"/>
  </r>
  <r>
    <s v="TX501945"/>
    <x v="2"/>
    <x v="1"/>
    <n v="75.599999999999994"/>
    <n v="151.19999999999999"/>
    <x v="70"/>
    <d v="2025-03-15T00:00:00"/>
    <x v="1"/>
    <x v="1"/>
    <x v="0"/>
    <x v="0"/>
    <x v="8"/>
    <x v="2"/>
    <x v="10"/>
    <x v="1"/>
  </r>
  <r>
    <s v="TX501946"/>
    <x v="12"/>
    <x v="13"/>
    <n v="47.3"/>
    <n v="283.79999999999995"/>
    <x v="70"/>
    <d v="2025-03-23T00:00:00"/>
    <x v="1"/>
    <x v="0"/>
    <x v="0"/>
    <x v="0"/>
    <x v="8"/>
    <x v="11"/>
    <x v="10"/>
    <x v="1"/>
  </r>
  <r>
    <s v="TX501947"/>
    <x v="4"/>
    <x v="0"/>
    <n v="20.6"/>
    <n v="20.6"/>
    <x v="70"/>
    <d v="2025-03-13T00:00:00"/>
    <x v="0"/>
    <x v="0"/>
    <x v="1"/>
    <x v="0"/>
    <x v="8"/>
    <x v="3"/>
    <x v="10"/>
    <x v="0"/>
  </r>
  <r>
    <s v="TX501948"/>
    <x v="6"/>
    <x v="2"/>
    <n v="49.7"/>
    <n v="149.10000000000002"/>
    <x v="70"/>
    <d v="2025-03-14T00:00:00"/>
    <x v="1"/>
    <x v="0"/>
    <x v="1"/>
    <x v="0"/>
    <x v="8"/>
    <x v="1"/>
    <x v="10"/>
    <x v="1"/>
  </r>
  <r>
    <s v="TX501949"/>
    <x v="3"/>
    <x v="0"/>
    <n v="37.9"/>
    <n v="37.9"/>
    <x v="70"/>
    <d v="2025-03-14T00:00:00"/>
    <x v="2"/>
    <x v="0"/>
    <x v="0"/>
    <x v="0"/>
    <x v="8"/>
    <x v="1"/>
    <x v="10"/>
    <x v="2"/>
  </r>
  <r>
    <s v="TX501950"/>
    <x v="13"/>
    <x v="20"/>
    <n v="32"/>
    <n v="480"/>
    <x v="70"/>
    <d v="2025-03-14T00:00:00"/>
    <x v="2"/>
    <x v="4"/>
    <x v="0"/>
    <x v="0"/>
    <x v="11"/>
    <x v="1"/>
    <x v="10"/>
    <x v="2"/>
  </r>
  <r>
    <s v="TX501951"/>
    <x v="10"/>
    <x v="16"/>
    <n v="38.5"/>
    <n v="693"/>
    <x v="71"/>
    <d v="2025-03-14T00:00:00"/>
    <x v="1"/>
    <x v="0"/>
    <x v="2"/>
    <x v="0"/>
    <x v="11"/>
    <x v="3"/>
    <x v="10"/>
    <x v="1"/>
  </r>
  <r>
    <s v="TX501952"/>
    <x v="0"/>
    <x v="12"/>
    <n v="11.7"/>
    <n v="46.8"/>
    <x v="71"/>
    <d v="2025-03-15T00:00:00"/>
    <x v="2"/>
    <x v="1"/>
    <x v="0"/>
    <x v="0"/>
    <x v="20"/>
    <x v="1"/>
    <x v="10"/>
    <x v="2"/>
  </r>
  <r>
    <s v="TX501953"/>
    <x v="3"/>
    <x v="13"/>
    <n v="83.8"/>
    <n v="502.79999999999995"/>
    <x v="71"/>
    <d v="2025-03-14T00:00:00"/>
    <x v="1"/>
    <x v="0"/>
    <x v="0"/>
    <x v="0"/>
    <x v="21"/>
    <x v="3"/>
    <x v="10"/>
    <x v="1"/>
  </r>
  <r>
    <s v="TX501954"/>
    <x v="0"/>
    <x v="3"/>
    <n v="14"/>
    <n v="98"/>
    <x v="71"/>
    <d v="2025-03-16T00:00:00"/>
    <x v="1"/>
    <x v="0"/>
    <x v="1"/>
    <x v="0"/>
    <x v="22"/>
    <x v="2"/>
    <x v="10"/>
    <x v="1"/>
  </r>
  <r>
    <s v="TX501955"/>
    <x v="16"/>
    <x v="12"/>
    <n v="77.3"/>
    <n v="309.2"/>
    <x v="71"/>
    <d v="2025-03-15T00:00:00"/>
    <x v="2"/>
    <x v="4"/>
    <x v="2"/>
    <x v="0"/>
    <x v="3"/>
    <x v="1"/>
    <x v="10"/>
    <x v="2"/>
  </r>
  <r>
    <s v="TX501956"/>
    <x v="2"/>
    <x v="1"/>
    <n v="76.900000000000006"/>
    <n v="153.80000000000001"/>
    <x v="71"/>
    <d v="2025-03-17T00:00:00"/>
    <x v="2"/>
    <x v="0"/>
    <x v="1"/>
    <x v="0"/>
    <x v="3"/>
    <x v="5"/>
    <x v="10"/>
    <x v="2"/>
  </r>
  <r>
    <s v="TX501957"/>
    <x v="1"/>
    <x v="0"/>
    <n v="48"/>
    <n v="48"/>
    <x v="71"/>
    <d v="2025-03-15T00:00:00"/>
    <x v="2"/>
    <x v="1"/>
    <x v="2"/>
    <x v="0"/>
    <x v="3"/>
    <x v="1"/>
    <x v="10"/>
    <x v="2"/>
  </r>
  <r>
    <s v="TX501958"/>
    <x v="2"/>
    <x v="0"/>
    <n v="94.5"/>
    <n v="94.5"/>
    <x v="71"/>
    <d v="2025-03-16T00:00:00"/>
    <x v="1"/>
    <x v="1"/>
    <x v="1"/>
    <x v="0"/>
    <x v="3"/>
    <x v="2"/>
    <x v="10"/>
    <x v="1"/>
  </r>
  <r>
    <s v="TX501959"/>
    <x v="10"/>
    <x v="2"/>
    <n v="58.4"/>
    <n v="175.2"/>
    <x v="71"/>
    <d v="2025-03-15T00:00:00"/>
    <x v="2"/>
    <x v="1"/>
    <x v="2"/>
    <x v="0"/>
    <x v="3"/>
    <x v="1"/>
    <x v="10"/>
    <x v="2"/>
  </r>
  <r>
    <s v="TX501960"/>
    <x v="7"/>
    <x v="15"/>
    <n v="42.2"/>
    <n v="548.6"/>
    <x v="71"/>
    <d v="2025-03-13T00:00:00"/>
    <x v="1"/>
    <x v="0"/>
    <x v="0"/>
    <x v="0"/>
    <x v="25"/>
    <x v="7"/>
    <x v="10"/>
    <x v="1"/>
  </r>
  <r>
    <s v="TX501961"/>
    <x v="6"/>
    <x v="1"/>
    <n v="152.19999999999999"/>
    <n v="304.39999999999998"/>
    <x v="71"/>
    <d v="2025-03-14T00:00:00"/>
    <x v="1"/>
    <x v="4"/>
    <x v="1"/>
    <x v="0"/>
    <x v="25"/>
    <x v="3"/>
    <x v="10"/>
    <x v="1"/>
  </r>
  <r>
    <s v="TX501962"/>
    <x v="6"/>
    <x v="25"/>
    <n v="72"/>
    <n v="1728"/>
    <x v="71"/>
    <d v="2025-03-14T00:00:00"/>
    <x v="1"/>
    <x v="0"/>
    <x v="1"/>
    <x v="0"/>
    <x v="6"/>
    <x v="3"/>
    <x v="10"/>
    <x v="1"/>
  </r>
  <r>
    <s v="TX501963"/>
    <x v="1"/>
    <x v="44"/>
    <n v="70.900000000000006"/>
    <n v="1630.7"/>
    <x v="71"/>
    <d v="2025-03-14T00:00:00"/>
    <x v="2"/>
    <x v="2"/>
    <x v="0"/>
    <x v="0"/>
    <x v="8"/>
    <x v="3"/>
    <x v="10"/>
    <x v="2"/>
  </r>
  <r>
    <s v="TX501964"/>
    <x v="2"/>
    <x v="1"/>
    <n v="53.7"/>
    <n v="107.4"/>
    <x v="71"/>
    <d v="2025-03-14T00:00:00"/>
    <x v="1"/>
    <x v="2"/>
    <x v="2"/>
    <x v="0"/>
    <x v="8"/>
    <x v="3"/>
    <x v="10"/>
    <x v="1"/>
  </r>
  <r>
    <s v="TX501965"/>
    <x v="9"/>
    <x v="12"/>
    <n v="42.9"/>
    <n v="171.6"/>
    <x v="71"/>
    <d v="2025-03-14T00:00:00"/>
    <x v="2"/>
    <x v="2"/>
    <x v="4"/>
    <x v="0"/>
    <x v="9"/>
    <x v="3"/>
    <x v="10"/>
    <x v="2"/>
  </r>
  <r>
    <s v="TX501966"/>
    <x v="2"/>
    <x v="3"/>
    <n v="107.5"/>
    <n v="752.5"/>
    <x v="71"/>
    <d v="2025-03-14T00:00:00"/>
    <x v="1"/>
    <x v="1"/>
    <x v="0"/>
    <x v="0"/>
    <x v="11"/>
    <x v="3"/>
    <x v="10"/>
    <x v="1"/>
  </r>
  <r>
    <s v="TX501967"/>
    <x v="17"/>
    <x v="27"/>
    <n v="21.5"/>
    <n v="344"/>
    <x v="71"/>
    <d v="2025-03-14T00:00:00"/>
    <x v="1"/>
    <x v="1"/>
    <x v="1"/>
    <x v="0"/>
    <x v="32"/>
    <x v="3"/>
    <x v="10"/>
    <x v="1"/>
  </r>
  <r>
    <s v="TX501968"/>
    <x v="3"/>
    <x v="9"/>
    <n v="85.3"/>
    <n v="426.5"/>
    <x v="71"/>
    <d v="2025-03-15T00:00:00"/>
    <x v="2"/>
    <x v="3"/>
    <x v="0"/>
    <x v="0"/>
    <x v="18"/>
    <x v="1"/>
    <x v="10"/>
    <x v="2"/>
  </r>
  <r>
    <s v="TX501969"/>
    <x v="7"/>
    <x v="9"/>
    <n v="80.8"/>
    <n v="404"/>
    <x v="71"/>
    <d v="2025-03-21T00:00:00"/>
    <x v="3"/>
    <x v="1"/>
    <x v="1"/>
    <x v="0"/>
    <x v="19"/>
    <x v="9"/>
    <x v="10"/>
    <x v="3"/>
  </r>
  <r>
    <s v="TX501970"/>
    <x v="2"/>
    <x v="2"/>
    <n v="123.1"/>
    <n v="369.29999999999995"/>
    <x v="71"/>
    <d v="2025-03-15T00:00:00"/>
    <x v="0"/>
    <x v="2"/>
    <x v="0"/>
    <x v="0"/>
    <x v="21"/>
    <x v="1"/>
    <x v="10"/>
    <x v="0"/>
  </r>
  <r>
    <s v="TX501971"/>
    <x v="8"/>
    <x v="1"/>
    <n v="36.9"/>
    <n v="73.8"/>
    <x v="71"/>
    <d v="2025-03-15T00:00:00"/>
    <x v="2"/>
    <x v="2"/>
    <x v="4"/>
    <x v="0"/>
    <x v="51"/>
    <x v="1"/>
    <x v="10"/>
    <x v="2"/>
  </r>
  <r>
    <s v="TX501972"/>
    <x v="11"/>
    <x v="9"/>
    <n v="40"/>
    <n v="200"/>
    <x v="71"/>
    <d v="2025-03-14T00:00:00"/>
    <x v="1"/>
    <x v="0"/>
    <x v="0"/>
    <x v="0"/>
    <x v="1"/>
    <x v="3"/>
    <x v="10"/>
    <x v="1"/>
  </r>
  <r>
    <s v="TX501973"/>
    <x v="6"/>
    <x v="2"/>
    <n v="55.5"/>
    <n v="166.5"/>
    <x v="71"/>
    <d v="2025-03-14T00:00:00"/>
    <x v="1"/>
    <x v="4"/>
    <x v="2"/>
    <x v="0"/>
    <x v="1"/>
    <x v="3"/>
    <x v="10"/>
    <x v="1"/>
  </r>
  <r>
    <s v="TX501974"/>
    <x v="0"/>
    <x v="12"/>
    <n v="20.5"/>
    <n v="82"/>
    <x v="71"/>
    <d v="2025-03-17T00:00:00"/>
    <x v="2"/>
    <x v="4"/>
    <x v="0"/>
    <x v="0"/>
    <x v="1"/>
    <x v="5"/>
    <x v="10"/>
    <x v="2"/>
  </r>
  <r>
    <s v="TX501975"/>
    <x v="18"/>
    <x v="12"/>
    <n v="50.1"/>
    <n v="200.4"/>
    <x v="71"/>
    <d v="2025-03-14T00:00:00"/>
    <x v="2"/>
    <x v="4"/>
    <x v="0"/>
    <x v="0"/>
    <x v="1"/>
    <x v="3"/>
    <x v="10"/>
    <x v="2"/>
  </r>
  <r>
    <s v="TX501976"/>
    <x v="9"/>
    <x v="0"/>
    <n v="35.9"/>
    <n v="35.9"/>
    <x v="71"/>
    <d v="2025-03-15T00:00:00"/>
    <x v="1"/>
    <x v="1"/>
    <x v="2"/>
    <x v="0"/>
    <x v="1"/>
    <x v="1"/>
    <x v="10"/>
    <x v="1"/>
  </r>
  <r>
    <s v="TX501977"/>
    <x v="13"/>
    <x v="12"/>
    <n v="29.4"/>
    <n v="117.6"/>
    <x v="72"/>
    <d v="2025-03-15T00:00:00"/>
    <x v="1"/>
    <x v="2"/>
    <x v="2"/>
    <x v="0"/>
    <x v="33"/>
    <x v="3"/>
    <x v="10"/>
    <x v="1"/>
  </r>
  <r>
    <s v="TX501978"/>
    <x v="8"/>
    <x v="9"/>
    <n v="29.1"/>
    <n v="145.5"/>
    <x v="72"/>
    <d v="2025-03-22T00:00:00"/>
    <x v="3"/>
    <x v="2"/>
    <x v="1"/>
    <x v="0"/>
    <x v="33"/>
    <x v="9"/>
    <x v="10"/>
    <x v="3"/>
  </r>
  <r>
    <s v="TX501979"/>
    <x v="8"/>
    <x v="2"/>
    <n v="33.5"/>
    <n v="100.5"/>
    <x v="72"/>
    <d v="2025-03-26T00:00:00"/>
    <x v="1"/>
    <x v="0"/>
    <x v="2"/>
    <x v="0"/>
    <x v="22"/>
    <x v="13"/>
    <x v="10"/>
    <x v="1"/>
  </r>
  <r>
    <s v="TX501980"/>
    <x v="4"/>
    <x v="7"/>
    <n v="36"/>
    <n v="360"/>
    <x v="72"/>
    <d v="2025-03-14T00:00:00"/>
    <x v="1"/>
    <x v="3"/>
    <x v="2"/>
    <x v="0"/>
    <x v="3"/>
    <x v="7"/>
    <x v="10"/>
    <x v="1"/>
  </r>
  <r>
    <s v="TX501981"/>
    <x v="16"/>
    <x v="2"/>
    <n v="57.3"/>
    <n v="171.89999999999998"/>
    <x v="72"/>
    <d v="2025-03-18T00:00:00"/>
    <x v="2"/>
    <x v="0"/>
    <x v="2"/>
    <x v="0"/>
    <x v="3"/>
    <x v="5"/>
    <x v="10"/>
    <x v="2"/>
  </r>
  <r>
    <s v="TX501982"/>
    <x v="1"/>
    <x v="0"/>
    <n v="81.400000000000006"/>
    <n v="81.400000000000006"/>
    <x v="72"/>
    <d v="2025-03-15T00:00:00"/>
    <x v="2"/>
    <x v="2"/>
    <x v="2"/>
    <x v="0"/>
    <x v="3"/>
    <x v="3"/>
    <x v="10"/>
    <x v="2"/>
  </r>
  <r>
    <s v="TX501983"/>
    <x v="10"/>
    <x v="1"/>
    <n v="35.299999999999997"/>
    <n v="70.599999999999994"/>
    <x v="72"/>
    <d v="2025-03-18T00:00:00"/>
    <x v="1"/>
    <x v="0"/>
    <x v="2"/>
    <x v="0"/>
    <x v="3"/>
    <x v="5"/>
    <x v="10"/>
    <x v="1"/>
  </r>
  <r>
    <s v="TX501984"/>
    <x v="3"/>
    <x v="0"/>
    <n v="36.1"/>
    <n v="36.1"/>
    <x v="72"/>
    <d v="2025-03-15T00:00:00"/>
    <x v="2"/>
    <x v="4"/>
    <x v="0"/>
    <x v="0"/>
    <x v="3"/>
    <x v="3"/>
    <x v="10"/>
    <x v="2"/>
  </r>
  <r>
    <s v="TX501985"/>
    <x v="1"/>
    <x v="1"/>
    <n v="36.700000000000003"/>
    <n v="73.400000000000006"/>
    <x v="72"/>
    <d v="2025-03-16T00:00:00"/>
    <x v="2"/>
    <x v="0"/>
    <x v="2"/>
    <x v="0"/>
    <x v="3"/>
    <x v="1"/>
    <x v="10"/>
    <x v="2"/>
  </r>
  <r>
    <s v="TX501986"/>
    <x v="10"/>
    <x v="0"/>
    <n v="20.9"/>
    <n v="20.9"/>
    <x v="72"/>
    <d v="2025-03-16T00:00:00"/>
    <x v="2"/>
    <x v="0"/>
    <x v="4"/>
    <x v="0"/>
    <x v="3"/>
    <x v="1"/>
    <x v="10"/>
    <x v="2"/>
  </r>
  <r>
    <s v="TX501987"/>
    <x v="12"/>
    <x v="2"/>
    <n v="58.8"/>
    <n v="176.39999999999998"/>
    <x v="72"/>
    <d v="2025-03-18T00:00:00"/>
    <x v="1"/>
    <x v="0"/>
    <x v="2"/>
    <x v="0"/>
    <x v="25"/>
    <x v="5"/>
    <x v="10"/>
    <x v="1"/>
  </r>
  <r>
    <s v="TX501988"/>
    <x v="2"/>
    <x v="2"/>
    <n v="97.6"/>
    <n v="292.79999999999995"/>
    <x v="73"/>
    <d v="2025-03-17T00:00:00"/>
    <x v="0"/>
    <x v="0"/>
    <x v="0"/>
    <x v="0"/>
    <x v="6"/>
    <x v="1"/>
    <x v="10"/>
    <x v="0"/>
  </r>
  <r>
    <s v="TX501989"/>
    <x v="1"/>
    <x v="1"/>
    <n v="58.7"/>
    <n v="117.4"/>
    <x v="73"/>
    <d v="2025-03-18T00:00:00"/>
    <x v="2"/>
    <x v="0"/>
    <x v="1"/>
    <x v="0"/>
    <x v="6"/>
    <x v="2"/>
    <x v="10"/>
    <x v="2"/>
  </r>
  <r>
    <s v="TX501990"/>
    <x v="6"/>
    <x v="9"/>
    <n v="71.900000000000006"/>
    <n v="359.5"/>
    <x v="73"/>
    <d v="2025-03-16T00:00:00"/>
    <x v="0"/>
    <x v="0"/>
    <x v="1"/>
    <x v="0"/>
    <x v="6"/>
    <x v="3"/>
    <x v="10"/>
    <x v="0"/>
  </r>
  <r>
    <s v="TX501991"/>
    <x v="1"/>
    <x v="1"/>
    <n v="62.4"/>
    <n v="124.8"/>
    <x v="73"/>
    <d v="2025-03-17T00:00:00"/>
    <x v="0"/>
    <x v="0"/>
    <x v="1"/>
    <x v="0"/>
    <x v="8"/>
    <x v="1"/>
    <x v="10"/>
    <x v="0"/>
  </r>
  <r>
    <s v="TX501992"/>
    <x v="6"/>
    <x v="27"/>
    <n v="53.8"/>
    <n v="860.8"/>
    <x v="73"/>
    <d v="2025-03-16T00:00:00"/>
    <x v="2"/>
    <x v="1"/>
    <x v="0"/>
    <x v="0"/>
    <x v="8"/>
    <x v="3"/>
    <x v="10"/>
    <x v="2"/>
  </r>
  <r>
    <s v="TX501993"/>
    <x v="9"/>
    <x v="0"/>
    <n v="43.8"/>
    <n v="43.8"/>
    <x v="73"/>
    <d v="2025-03-22T00:00:00"/>
    <x v="2"/>
    <x v="0"/>
    <x v="2"/>
    <x v="0"/>
    <x v="8"/>
    <x v="6"/>
    <x v="10"/>
    <x v="2"/>
  </r>
  <r>
    <s v="TX501994"/>
    <x v="5"/>
    <x v="2"/>
    <n v="53.6"/>
    <n v="160.80000000000001"/>
    <x v="73"/>
    <d v="2025-03-16T00:00:00"/>
    <x v="1"/>
    <x v="3"/>
    <x v="0"/>
    <x v="0"/>
    <x v="8"/>
    <x v="3"/>
    <x v="10"/>
    <x v="1"/>
  </r>
  <r>
    <s v="TX501995"/>
    <x v="12"/>
    <x v="1"/>
    <n v="84.3"/>
    <n v="168.6"/>
    <x v="73"/>
    <d v="2025-03-18T00:00:00"/>
    <x v="1"/>
    <x v="4"/>
    <x v="1"/>
    <x v="0"/>
    <x v="8"/>
    <x v="2"/>
    <x v="10"/>
    <x v="1"/>
  </r>
  <r>
    <s v="TX501996"/>
    <x v="6"/>
    <x v="11"/>
    <n v="117.9"/>
    <n v="1061.1000000000001"/>
    <x v="73"/>
    <d v="2025-03-16T00:00:00"/>
    <x v="2"/>
    <x v="1"/>
    <x v="2"/>
    <x v="0"/>
    <x v="8"/>
    <x v="3"/>
    <x v="10"/>
    <x v="2"/>
  </r>
  <r>
    <s v="TX501997"/>
    <x v="4"/>
    <x v="8"/>
    <n v="30"/>
    <n v="240"/>
    <x v="73"/>
    <d v="2025-03-16T00:00:00"/>
    <x v="2"/>
    <x v="1"/>
    <x v="0"/>
    <x v="0"/>
    <x v="26"/>
    <x v="3"/>
    <x v="10"/>
    <x v="2"/>
  </r>
  <r>
    <s v="TX501998"/>
    <x v="14"/>
    <x v="2"/>
    <n v="37.299999999999997"/>
    <n v="111.89999999999999"/>
    <x v="73"/>
    <d v="2025-03-16T00:00:00"/>
    <x v="1"/>
    <x v="2"/>
    <x v="0"/>
    <x v="0"/>
    <x v="9"/>
    <x v="3"/>
    <x v="10"/>
    <x v="1"/>
  </r>
  <r>
    <s v="TX501999"/>
    <x v="4"/>
    <x v="11"/>
    <n v="25.1"/>
    <n v="225.9"/>
    <x v="73"/>
    <d v="2025-03-17T00:00:00"/>
    <x v="1"/>
    <x v="1"/>
    <x v="2"/>
    <x v="0"/>
    <x v="11"/>
    <x v="1"/>
    <x v="10"/>
    <x v="1"/>
  </r>
  <r>
    <s v="TX502000"/>
    <x v="8"/>
    <x v="5"/>
    <n v="36"/>
    <n v="396"/>
    <x v="73"/>
    <d v="2025-03-25T00:00:00"/>
    <x v="1"/>
    <x v="1"/>
    <x v="0"/>
    <x v="0"/>
    <x v="18"/>
    <x v="14"/>
    <x v="10"/>
    <x v="1"/>
  </r>
  <r>
    <s v="TX502001"/>
    <x v="16"/>
    <x v="2"/>
    <n v="48.5"/>
    <n v="145.5"/>
    <x v="73"/>
    <d v="2025-03-19T00:00:00"/>
    <x v="2"/>
    <x v="1"/>
    <x v="0"/>
    <x v="0"/>
    <x v="19"/>
    <x v="5"/>
    <x v="10"/>
    <x v="2"/>
  </r>
  <r>
    <s v="TX502002"/>
    <x v="17"/>
    <x v="13"/>
    <n v="21.1"/>
    <n v="126.60000000000001"/>
    <x v="73"/>
    <d v="2025-03-16T00:00:00"/>
    <x v="1"/>
    <x v="1"/>
    <x v="2"/>
    <x v="0"/>
    <x v="21"/>
    <x v="3"/>
    <x v="10"/>
    <x v="1"/>
  </r>
  <r>
    <s v="TX502003"/>
    <x v="15"/>
    <x v="21"/>
    <n v="43.2"/>
    <n v="604.80000000000007"/>
    <x v="73"/>
    <d v="2025-03-16T00:00:00"/>
    <x v="3"/>
    <x v="0"/>
    <x v="1"/>
    <x v="0"/>
    <x v="21"/>
    <x v="3"/>
    <x v="10"/>
    <x v="3"/>
  </r>
  <r>
    <s v="TX502004"/>
    <x v="9"/>
    <x v="1"/>
    <n v="21.1"/>
    <n v="42.2"/>
    <x v="73"/>
    <d v="2025-03-16T00:00:00"/>
    <x v="0"/>
    <x v="3"/>
    <x v="1"/>
    <x v="0"/>
    <x v="21"/>
    <x v="3"/>
    <x v="10"/>
    <x v="0"/>
  </r>
  <r>
    <s v="TX502005"/>
    <x v="6"/>
    <x v="12"/>
    <n v="41.3"/>
    <n v="165.2"/>
    <x v="73"/>
    <d v="2025-03-17T00:00:00"/>
    <x v="2"/>
    <x v="3"/>
    <x v="2"/>
    <x v="0"/>
    <x v="1"/>
    <x v="1"/>
    <x v="10"/>
    <x v="2"/>
  </r>
  <r>
    <s v="TX502006"/>
    <x v="8"/>
    <x v="1"/>
    <n v="15.3"/>
    <n v="30.6"/>
    <x v="73"/>
    <d v="2025-03-18T00:00:00"/>
    <x v="0"/>
    <x v="2"/>
    <x v="2"/>
    <x v="0"/>
    <x v="1"/>
    <x v="2"/>
    <x v="10"/>
    <x v="0"/>
  </r>
  <r>
    <s v="TX502007"/>
    <x v="1"/>
    <x v="0"/>
    <n v="54.6"/>
    <n v="54.6"/>
    <x v="73"/>
    <d v="2025-03-17T00:00:00"/>
    <x v="1"/>
    <x v="1"/>
    <x v="1"/>
    <x v="0"/>
    <x v="2"/>
    <x v="1"/>
    <x v="10"/>
    <x v="1"/>
  </r>
  <r>
    <s v="TX502008"/>
    <x v="8"/>
    <x v="0"/>
    <n v="15.9"/>
    <n v="15.9"/>
    <x v="73"/>
    <d v="2025-03-16T00:00:00"/>
    <x v="1"/>
    <x v="0"/>
    <x v="1"/>
    <x v="0"/>
    <x v="22"/>
    <x v="3"/>
    <x v="10"/>
    <x v="1"/>
  </r>
  <r>
    <s v="TX502009"/>
    <x v="9"/>
    <x v="0"/>
    <n v="50.2"/>
    <n v="50.2"/>
    <x v="73"/>
    <d v="2025-03-17T00:00:00"/>
    <x v="2"/>
    <x v="3"/>
    <x v="2"/>
    <x v="0"/>
    <x v="34"/>
    <x v="1"/>
    <x v="10"/>
    <x v="2"/>
  </r>
  <r>
    <s v="TX502010"/>
    <x v="11"/>
    <x v="12"/>
    <n v="85.1"/>
    <n v="340.4"/>
    <x v="73"/>
    <d v="2025-03-16T00:00:00"/>
    <x v="2"/>
    <x v="3"/>
    <x v="4"/>
    <x v="0"/>
    <x v="34"/>
    <x v="3"/>
    <x v="10"/>
    <x v="2"/>
  </r>
  <r>
    <s v="TX502011"/>
    <x v="11"/>
    <x v="1"/>
    <n v="41.4"/>
    <n v="82.8"/>
    <x v="73"/>
    <d v="2025-03-16T00:00:00"/>
    <x v="2"/>
    <x v="0"/>
    <x v="2"/>
    <x v="0"/>
    <x v="3"/>
    <x v="3"/>
    <x v="10"/>
    <x v="2"/>
  </r>
  <r>
    <s v="TX502012"/>
    <x v="4"/>
    <x v="3"/>
    <n v="32.700000000000003"/>
    <n v="228.90000000000003"/>
    <x v="73"/>
    <d v="2025-03-16T00:00:00"/>
    <x v="2"/>
    <x v="2"/>
    <x v="1"/>
    <x v="0"/>
    <x v="3"/>
    <x v="3"/>
    <x v="10"/>
    <x v="2"/>
  </r>
  <r>
    <s v="TX502013"/>
    <x v="4"/>
    <x v="1"/>
    <n v="41.6"/>
    <n v="83.2"/>
    <x v="73"/>
    <d v="2025-03-17T00:00:00"/>
    <x v="1"/>
    <x v="4"/>
    <x v="1"/>
    <x v="0"/>
    <x v="3"/>
    <x v="1"/>
    <x v="10"/>
    <x v="1"/>
  </r>
  <r>
    <s v="TX502014"/>
    <x v="5"/>
    <x v="12"/>
    <n v="64.8"/>
    <n v="259.2"/>
    <x v="73"/>
    <d v="2025-03-16T00:00:00"/>
    <x v="0"/>
    <x v="2"/>
    <x v="0"/>
    <x v="0"/>
    <x v="3"/>
    <x v="3"/>
    <x v="10"/>
    <x v="0"/>
  </r>
  <r>
    <s v="TX502015"/>
    <x v="15"/>
    <x v="1"/>
    <n v="33.6"/>
    <n v="67.2"/>
    <x v="73"/>
    <d v="2025-03-16T00:00:00"/>
    <x v="1"/>
    <x v="0"/>
    <x v="2"/>
    <x v="0"/>
    <x v="3"/>
    <x v="3"/>
    <x v="10"/>
    <x v="1"/>
  </r>
  <r>
    <s v="TX502016"/>
    <x v="6"/>
    <x v="2"/>
    <n v="100.7"/>
    <n v="302.10000000000002"/>
    <x v="73"/>
    <d v="2025-03-16T00:00:00"/>
    <x v="0"/>
    <x v="1"/>
    <x v="0"/>
    <x v="0"/>
    <x v="3"/>
    <x v="3"/>
    <x v="10"/>
    <x v="0"/>
  </r>
  <r>
    <s v="TX502017"/>
    <x v="4"/>
    <x v="1"/>
    <n v="49.3"/>
    <n v="98.6"/>
    <x v="74"/>
    <d v="2025-03-18T00:00:00"/>
    <x v="2"/>
    <x v="4"/>
    <x v="2"/>
    <x v="0"/>
    <x v="3"/>
    <x v="1"/>
    <x v="11"/>
    <x v="2"/>
  </r>
  <r>
    <s v="TX502018"/>
    <x v="2"/>
    <x v="13"/>
    <n v="97"/>
    <n v="582"/>
    <x v="74"/>
    <d v="2025-03-19T00:00:00"/>
    <x v="1"/>
    <x v="2"/>
    <x v="2"/>
    <x v="0"/>
    <x v="3"/>
    <x v="2"/>
    <x v="11"/>
    <x v="1"/>
  </r>
  <r>
    <s v="TX502019"/>
    <x v="0"/>
    <x v="13"/>
    <n v="25.2"/>
    <n v="151.19999999999999"/>
    <x v="74"/>
    <d v="2025-03-19T00:00:00"/>
    <x v="2"/>
    <x v="4"/>
    <x v="2"/>
    <x v="0"/>
    <x v="3"/>
    <x v="2"/>
    <x v="11"/>
    <x v="2"/>
  </r>
  <r>
    <s v="TX502020"/>
    <x v="0"/>
    <x v="5"/>
    <n v="12.2"/>
    <n v="134.19999999999999"/>
    <x v="74"/>
    <d v="2025-03-17T00:00:00"/>
    <x v="0"/>
    <x v="0"/>
    <x v="1"/>
    <x v="0"/>
    <x v="3"/>
    <x v="3"/>
    <x v="11"/>
    <x v="0"/>
  </r>
  <r>
    <s v="TX502021"/>
    <x v="8"/>
    <x v="3"/>
    <n v="38.799999999999997"/>
    <n v="271.59999999999997"/>
    <x v="74"/>
    <d v="2025-03-18T00:00:00"/>
    <x v="2"/>
    <x v="1"/>
    <x v="1"/>
    <x v="0"/>
    <x v="23"/>
    <x v="1"/>
    <x v="11"/>
    <x v="2"/>
  </r>
  <r>
    <s v="TX502022"/>
    <x v="2"/>
    <x v="12"/>
    <n v="53.2"/>
    <n v="212.8"/>
    <x v="74"/>
    <d v="2025-03-17T00:00:00"/>
    <x v="1"/>
    <x v="0"/>
    <x v="2"/>
    <x v="0"/>
    <x v="8"/>
    <x v="3"/>
    <x v="11"/>
    <x v="1"/>
  </r>
  <r>
    <s v="TX502023"/>
    <x v="6"/>
    <x v="3"/>
    <n v="151"/>
    <n v="1057"/>
    <x v="74"/>
    <d v="2025-03-17T00:00:00"/>
    <x v="3"/>
    <x v="1"/>
    <x v="1"/>
    <x v="0"/>
    <x v="8"/>
    <x v="3"/>
    <x v="11"/>
    <x v="3"/>
  </r>
  <r>
    <s v="TX502024"/>
    <x v="1"/>
    <x v="1"/>
    <n v="37.1"/>
    <n v="74.2"/>
    <x v="74"/>
    <d v="2025-03-17T00:00:00"/>
    <x v="2"/>
    <x v="4"/>
    <x v="0"/>
    <x v="0"/>
    <x v="8"/>
    <x v="3"/>
    <x v="11"/>
    <x v="2"/>
  </r>
  <r>
    <s v="TX502025"/>
    <x v="5"/>
    <x v="1"/>
    <n v="38.9"/>
    <n v="77.8"/>
    <x v="74"/>
    <d v="2025-03-17T00:00:00"/>
    <x v="1"/>
    <x v="4"/>
    <x v="0"/>
    <x v="0"/>
    <x v="8"/>
    <x v="3"/>
    <x v="11"/>
    <x v="1"/>
  </r>
  <r>
    <s v="TX502026"/>
    <x v="10"/>
    <x v="1"/>
    <n v="35.200000000000003"/>
    <n v="70.400000000000006"/>
    <x v="74"/>
    <d v="2025-03-17T00:00:00"/>
    <x v="1"/>
    <x v="0"/>
    <x v="2"/>
    <x v="0"/>
    <x v="17"/>
    <x v="3"/>
    <x v="11"/>
    <x v="1"/>
  </r>
  <r>
    <s v="TX502027"/>
    <x v="0"/>
    <x v="1"/>
    <n v="22.3"/>
    <n v="44.6"/>
    <x v="74"/>
    <d v="2025-03-18T00:00:00"/>
    <x v="2"/>
    <x v="1"/>
    <x v="0"/>
    <x v="0"/>
    <x v="9"/>
    <x v="1"/>
    <x v="11"/>
    <x v="2"/>
  </r>
  <r>
    <s v="TX502028"/>
    <x v="9"/>
    <x v="0"/>
    <n v="43.3"/>
    <n v="43.3"/>
    <x v="74"/>
    <d v="2025-03-19T00:00:00"/>
    <x v="2"/>
    <x v="0"/>
    <x v="2"/>
    <x v="0"/>
    <x v="11"/>
    <x v="2"/>
    <x v="11"/>
    <x v="2"/>
  </r>
  <r>
    <s v="TX502029"/>
    <x v="6"/>
    <x v="13"/>
    <n v="75.900000000000006"/>
    <n v="455.40000000000003"/>
    <x v="74"/>
    <d v="2025-03-22T00:00:00"/>
    <x v="1"/>
    <x v="0"/>
    <x v="0"/>
    <x v="0"/>
    <x v="11"/>
    <x v="4"/>
    <x v="11"/>
    <x v="1"/>
  </r>
  <r>
    <s v="TX502030"/>
    <x v="6"/>
    <x v="2"/>
    <n v="78.7"/>
    <n v="236.10000000000002"/>
    <x v="74"/>
    <d v="2025-03-20T00:00:00"/>
    <x v="2"/>
    <x v="2"/>
    <x v="1"/>
    <x v="0"/>
    <x v="11"/>
    <x v="5"/>
    <x v="11"/>
    <x v="2"/>
  </r>
  <r>
    <s v="TX502031"/>
    <x v="1"/>
    <x v="0"/>
    <n v="66.3"/>
    <n v="66.3"/>
    <x v="74"/>
    <d v="2025-03-20T00:00:00"/>
    <x v="2"/>
    <x v="0"/>
    <x v="2"/>
    <x v="0"/>
    <x v="19"/>
    <x v="5"/>
    <x v="11"/>
    <x v="2"/>
  </r>
  <r>
    <s v="TX502032"/>
    <x v="8"/>
    <x v="1"/>
    <n v="33.6"/>
    <n v="67.2"/>
    <x v="74"/>
    <d v="2025-03-16T00:00:00"/>
    <x v="1"/>
    <x v="0"/>
    <x v="1"/>
    <x v="0"/>
    <x v="19"/>
    <x v="7"/>
    <x v="11"/>
    <x v="1"/>
  </r>
  <r>
    <s v="TX502033"/>
    <x v="2"/>
    <x v="3"/>
    <n v="61.4"/>
    <n v="429.8"/>
    <x v="74"/>
    <d v="2025-03-17T00:00:00"/>
    <x v="1"/>
    <x v="4"/>
    <x v="0"/>
    <x v="0"/>
    <x v="19"/>
    <x v="3"/>
    <x v="11"/>
    <x v="1"/>
  </r>
  <r>
    <s v="TX502034"/>
    <x v="8"/>
    <x v="1"/>
    <n v="17.5"/>
    <n v="35"/>
    <x v="74"/>
    <d v="2025-03-19T00:00:00"/>
    <x v="2"/>
    <x v="0"/>
    <x v="0"/>
    <x v="0"/>
    <x v="21"/>
    <x v="2"/>
    <x v="11"/>
    <x v="2"/>
  </r>
  <r>
    <s v="TX502035"/>
    <x v="8"/>
    <x v="1"/>
    <n v="32.5"/>
    <n v="65"/>
    <x v="74"/>
    <d v="2025-03-19T00:00:00"/>
    <x v="2"/>
    <x v="1"/>
    <x v="0"/>
    <x v="0"/>
    <x v="21"/>
    <x v="2"/>
    <x v="11"/>
    <x v="2"/>
  </r>
  <r>
    <s v="TX502036"/>
    <x v="4"/>
    <x v="0"/>
    <n v="34.6"/>
    <n v="34.6"/>
    <x v="74"/>
    <d v="2025-03-17T00:00:00"/>
    <x v="2"/>
    <x v="4"/>
    <x v="0"/>
    <x v="0"/>
    <x v="21"/>
    <x v="3"/>
    <x v="11"/>
    <x v="2"/>
  </r>
  <r>
    <s v="TX502037"/>
    <x v="2"/>
    <x v="0"/>
    <n v="75.900000000000006"/>
    <n v="75.900000000000006"/>
    <x v="74"/>
    <d v="2025-03-16T00:00:00"/>
    <x v="1"/>
    <x v="1"/>
    <x v="2"/>
    <x v="0"/>
    <x v="21"/>
    <x v="7"/>
    <x v="11"/>
    <x v="1"/>
  </r>
  <r>
    <s v="TX502038"/>
    <x v="1"/>
    <x v="2"/>
    <n v="42.1"/>
    <n v="126.30000000000001"/>
    <x v="74"/>
    <d v="2025-03-19T00:00:00"/>
    <x v="1"/>
    <x v="1"/>
    <x v="1"/>
    <x v="0"/>
    <x v="21"/>
    <x v="2"/>
    <x v="11"/>
    <x v="1"/>
  </r>
  <r>
    <s v="TX502039"/>
    <x v="7"/>
    <x v="2"/>
    <n v="65.3"/>
    <n v="195.89999999999998"/>
    <x v="74"/>
    <d v="2025-03-23T00:00:00"/>
    <x v="1"/>
    <x v="0"/>
    <x v="0"/>
    <x v="0"/>
    <x v="1"/>
    <x v="6"/>
    <x v="11"/>
    <x v="1"/>
  </r>
  <r>
    <s v="TX502040"/>
    <x v="15"/>
    <x v="0"/>
    <n v="20.6"/>
    <n v="20.6"/>
    <x v="74"/>
    <d v="2025-03-19T00:00:00"/>
    <x v="1"/>
    <x v="3"/>
    <x v="0"/>
    <x v="0"/>
    <x v="42"/>
    <x v="2"/>
    <x v="11"/>
    <x v="1"/>
  </r>
  <r>
    <s v="TX502041"/>
    <x v="8"/>
    <x v="3"/>
    <n v="16.5"/>
    <n v="115.5"/>
    <x v="74"/>
    <d v="2025-03-17T00:00:00"/>
    <x v="1"/>
    <x v="1"/>
    <x v="1"/>
    <x v="0"/>
    <x v="2"/>
    <x v="3"/>
    <x v="11"/>
    <x v="1"/>
  </r>
  <r>
    <s v="TX502042"/>
    <x v="16"/>
    <x v="7"/>
    <n v="36.200000000000003"/>
    <n v="362"/>
    <x v="74"/>
    <d v="2025-03-18T00:00:00"/>
    <x v="1"/>
    <x v="0"/>
    <x v="2"/>
    <x v="0"/>
    <x v="2"/>
    <x v="1"/>
    <x v="11"/>
    <x v="1"/>
  </r>
  <r>
    <s v="TX502043"/>
    <x v="6"/>
    <x v="0"/>
    <n v="53.2"/>
    <n v="53.2"/>
    <x v="74"/>
    <d v="2025-03-17T00:00:00"/>
    <x v="2"/>
    <x v="0"/>
    <x v="1"/>
    <x v="0"/>
    <x v="22"/>
    <x v="3"/>
    <x v="11"/>
    <x v="2"/>
  </r>
  <r>
    <s v="TX502044"/>
    <x v="2"/>
    <x v="21"/>
    <n v="176"/>
    <n v="2464"/>
    <x v="74"/>
    <d v="2025-03-17T00:00:00"/>
    <x v="2"/>
    <x v="0"/>
    <x v="1"/>
    <x v="0"/>
    <x v="3"/>
    <x v="3"/>
    <x v="11"/>
    <x v="2"/>
  </r>
  <r>
    <s v="TX502045"/>
    <x v="1"/>
    <x v="0"/>
    <n v="52.4"/>
    <n v="52.4"/>
    <x v="74"/>
    <d v="2025-03-17T00:00:00"/>
    <x v="1"/>
    <x v="1"/>
    <x v="0"/>
    <x v="0"/>
    <x v="3"/>
    <x v="3"/>
    <x v="11"/>
    <x v="1"/>
  </r>
  <r>
    <s v="TX502046"/>
    <x v="10"/>
    <x v="2"/>
    <n v="48.2"/>
    <n v="144.60000000000002"/>
    <x v="74"/>
    <d v="2025-03-17T00:00:00"/>
    <x v="2"/>
    <x v="1"/>
    <x v="2"/>
    <x v="0"/>
    <x v="3"/>
    <x v="3"/>
    <x v="11"/>
    <x v="2"/>
  </r>
  <r>
    <s v="TX502047"/>
    <x v="15"/>
    <x v="0"/>
    <n v="51.6"/>
    <n v="51.6"/>
    <x v="74"/>
    <d v="2025-03-20T00:00:00"/>
    <x v="2"/>
    <x v="2"/>
    <x v="1"/>
    <x v="0"/>
    <x v="3"/>
    <x v="5"/>
    <x v="11"/>
    <x v="2"/>
  </r>
  <r>
    <s v="TX502048"/>
    <x v="0"/>
    <x v="12"/>
    <n v="33.700000000000003"/>
    <n v="134.80000000000001"/>
    <x v="75"/>
    <d v="2025-03-18T00:00:00"/>
    <x v="1"/>
    <x v="0"/>
    <x v="0"/>
    <x v="0"/>
    <x v="3"/>
    <x v="3"/>
    <x v="11"/>
    <x v="1"/>
  </r>
  <r>
    <s v="TX502049"/>
    <x v="4"/>
    <x v="7"/>
    <n v="36.299999999999997"/>
    <n v="363"/>
    <x v="75"/>
    <d v="2025-03-19T00:00:00"/>
    <x v="2"/>
    <x v="4"/>
    <x v="1"/>
    <x v="0"/>
    <x v="3"/>
    <x v="1"/>
    <x v="11"/>
    <x v="2"/>
  </r>
  <r>
    <s v="TX502050"/>
    <x v="8"/>
    <x v="0"/>
    <n v="23.4"/>
    <n v="23.4"/>
    <x v="75"/>
    <d v="2025-03-22T00:00:00"/>
    <x v="2"/>
    <x v="1"/>
    <x v="2"/>
    <x v="0"/>
    <x v="3"/>
    <x v="0"/>
    <x v="11"/>
    <x v="2"/>
  </r>
  <r>
    <s v="TX502051"/>
    <x v="15"/>
    <x v="8"/>
    <n v="56.6"/>
    <n v="452.8"/>
    <x v="75"/>
    <d v="2025-03-19T00:00:00"/>
    <x v="2"/>
    <x v="1"/>
    <x v="0"/>
    <x v="0"/>
    <x v="3"/>
    <x v="1"/>
    <x v="11"/>
    <x v="2"/>
  </r>
  <r>
    <s v="TX502052"/>
    <x v="15"/>
    <x v="1"/>
    <n v="26.8"/>
    <n v="53.6"/>
    <x v="75"/>
    <d v="2025-03-18T00:00:00"/>
    <x v="1"/>
    <x v="0"/>
    <x v="0"/>
    <x v="0"/>
    <x v="4"/>
    <x v="3"/>
    <x v="11"/>
    <x v="1"/>
  </r>
  <r>
    <s v="TX502053"/>
    <x v="0"/>
    <x v="2"/>
    <n v="11.3"/>
    <n v="33.900000000000006"/>
    <x v="75"/>
    <d v="2025-03-19T00:00:00"/>
    <x v="1"/>
    <x v="2"/>
    <x v="0"/>
    <x v="0"/>
    <x v="25"/>
    <x v="1"/>
    <x v="11"/>
    <x v="1"/>
  </r>
  <r>
    <s v="TX502054"/>
    <x v="6"/>
    <x v="2"/>
    <n v="60.1"/>
    <n v="180.3"/>
    <x v="75"/>
    <d v="2025-03-20T00:00:00"/>
    <x v="2"/>
    <x v="0"/>
    <x v="0"/>
    <x v="0"/>
    <x v="7"/>
    <x v="2"/>
    <x v="11"/>
    <x v="2"/>
  </r>
  <r>
    <s v="TX502055"/>
    <x v="0"/>
    <x v="5"/>
    <n v="27.7"/>
    <n v="304.7"/>
    <x v="75"/>
    <d v="2025-03-22T00:00:00"/>
    <x v="2"/>
    <x v="0"/>
    <x v="0"/>
    <x v="0"/>
    <x v="8"/>
    <x v="0"/>
    <x v="11"/>
    <x v="2"/>
  </r>
  <r>
    <s v="TX502056"/>
    <x v="15"/>
    <x v="0"/>
    <n v="71.400000000000006"/>
    <n v="71.400000000000006"/>
    <x v="75"/>
    <d v="2025-03-20T00:00:00"/>
    <x v="1"/>
    <x v="0"/>
    <x v="2"/>
    <x v="0"/>
    <x v="8"/>
    <x v="2"/>
    <x v="11"/>
    <x v="1"/>
  </r>
  <r>
    <s v="TX502057"/>
    <x v="2"/>
    <x v="1"/>
    <n v="66.7"/>
    <n v="133.4"/>
    <x v="75"/>
    <d v="2025-03-18T00:00:00"/>
    <x v="2"/>
    <x v="0"/>
    <x v="2"/>
    <x v="0"/>
    <x v="8"/>
    <x v="3"/>
    <x v="11"/>
    <x v="2"/>
  </r>
  <r>
    <s v="TX502058"/>
    <x v="13"/>
    <x v="9"/>
    <n v="39.1"/>
    <n v="195.5"/>
    <x v="75"/>
    <d v="2025-03-18T00:00:00"/>
    <x v="2"/>
    <x v="0"/>
    <x v="0"/>
    <x v="0"/>
    <x v="8"/>
    <x v="3"/>
    <x v="11"/>
    <x v="2"/>
  </r>
  <r>
    <s v="TX502059"/>
    <x v="8"/>
    <x v="12"/>
    <n v="24.9"/>
    <n v="99.6"/>
    <x v="75"/>
    <d v="2025-03-22T00:00:00"/>
    <x v="1"/>
    <x v="1"/>
    <x v="2"/>
    <x v="0"/>
    <x v="8"/>
    <x v="0"/>
    <x v="11"/>
    <x v="1"/>
  </r>
  <r>
    <s v="TX502060"/>
    <x v="5"/>
    <x v="9"/>
    <n v="29.2"/>
    <n v="146"/>
    <x v="75"/>
    <d v="2025-03-18T00:00:00"/>
    <x v="1"/>
    <x v="0"/>
    <x v="2"/>
    <x v="0"/>
    <x v="17"/>
    <x v="3"/>
    <x v="11"/>
    <x v="1"/>
  </r>
  <r>
    <s v="TX502061"/>
    <x v="13"/>
    <x v="21"/>
    <n v="28.3"/>
    <n v="396.2"/>
    <x v="75"/>
    <d v="2025-03-19T00:00:00"/>
    <x v="2"/>
    <x v="1"/>
    <x v="0"/>
    <x v="0"/>
    <x v="11"/>
    <x v="1"/>
    <x v="11"/>
    <x v="2"/>
  </r>
  <r>
    <s v="TX502062"/>
    <x v="9"/>
    <x v="2"/>
    <n v="37.799999999999997"/>
    <n v="113.39999999999999"/>
    <x v="75"/>
    <d v="2025-03-18T00:00:00"/>
    <x v="2"/>
    <x v="0"/>
    <x v="1"/>
    <x v="0"/>
    <x v="11"/>
    <x v="3"/>
    <x v="11"/>
    <x v="2"/>
  </r>
  <r>
    <s v="TX502063"/>
    <x v="14"/>
    <x v="3"/>
    <n v="28.1"/>
    <n v="196.70000000000002"/>
    <x v="75"/>
    <d v="2025-03-23T00:00:00"/>
    <x v="2"/>
    <x v="2"/>
    <x v="0"/>
    <x v="0"/>
    <x v="11"/>
    <x v="4"/>
    <x v="11"/>
    <x v="2"/>
  </r>
  <r>
    <s v="TX502064"/>
    <x v="1"/>
    <x v="2"/>
    <n v="59.7"/>
    <n v="179.10000000000002"/>
    <x v="75"/>
    <d v="2025-03-19T00:00:00"/>
    <x v="2"/>
    <x v="2"/>
    <x v="0"/>
    <x v="0"/>
    <x v="11"/>
    <x v="1"/>
    <x v="11"/>
    <x v="2"/>
  </r>
  <r>
    <s v="TX502065"/>
    <x v="16"/>
    <x v="0"/>
    <n v="71.900000000000006"/>
    <n v="71.900000000000006"/>
    <x v="75"/>
    <d v="2025-03-18T00:00:00"/>
    <x v="1"/>
    <x v="1"/>
    <x v="1"/>
    <x v="0"/>
    <x v="11"/>
    <x v="3"/>
    <x v="11"/>
    <x v="1"/>
  </r>
  <r>
    <s v="TX502066"/>
    <x v="1"/>
    <x v="1"/>
    <n v="56.9"/>
    <n v="113.8"/>
    <x v="75"/>
    <d v="2025-03-18T00:00:00"/>
    <x v="1"/>
    <x v="2"/>
    <x v="0"/>
    <x v="0"/>
    <x v="13"/>
    <x v="3"/>
    <x v="11"/>
    <x v="1"/>
  </r>
  <r>
    <s v="TX502067"/>
    <x v="8"/>
    <x v="1"/>
    <n v="15.8"/>
    <n v="31.6"/>
    <x v="75"/>
    <d v="2025-03-20T00:00:00"/>
    <x v="2"/>
    <x v="2"/>
    <x v="1"/>
    <x v="0"/>
    <x v="1"/>
    <x v="2"/>
    <x v="11"/>
    <x v="2"/>
  </r>
  <r>
    <s v="TX502068"/>
    <x v="11"/>
    <x v="12"/>
    <n v="61.7"/>
    <n v="246.8"/>
    <x v="75"/>
    <d v="2025-03-19T00:00:00"/>
    <x v="2"/>
    <x v="2"/>
    <x v="0"/>
    <x v="0"/>
    <x v="22"/>
    <x v="1"/>
    <x v="11"/>
    <x v="2"/>
  </r>
  <r>
    <s v="TX502069"/>
    <x v="2"/>
    <x v="7"/>
    <n v="105.2"/>
    <n v="1052"/>
    <x v="75"/>
    <d v="2025-03-19T00:00:00"/>
    <x v="1"/>
    <x v="1"/>
    <x v="4"/>
    <x v="0"/>
    <x v="3"/>
    <x v="1"/>
    <x v="11"/>
    <x v="1"/>
  </r>
  <r>
    <s v="TX502070"/>
    <x v="0"/>
    <x v="1"/>
    <n v="17"/>
    <n v="34"/>
    <x v="75"/>
    <d v="2025-03-19T00:00:00"/>
    <x v="2"/>
    <x v="2"/>
    <x v="0"/>
    <x v="0"/>
    <x v="3"/>
    <x v="1"/>
    <x v="11"/>
    <x v="2"/>
  </r>
  <r>
    <s v="TX502071"/>
    <x v="6"/>
    <x v="2"/>
    <n v="84.1"/>
    <n v="252.29999999999998"/>
    <x v="75"/>
    <d v="2025-03-18T00:00:00"/>
    <x v="1"/>
    <x v="2"/>
    <x v="0"/>
    <x v="0"/>
    <x v="3"/>
    <x v="3"/>
    <x v="11"/>
    <x v="1"/>
  </r>
  <r>
    <s v="TX502072"/>
    <x v="3"/>
    <x v="12"/>
    <n v="59.5"/>
    <n v="238"/>
    <x v="75"/>
    <d v="2025-03-22T00:00:00"/>
    <x v="1"/>
    <x v="0"/>
    <x v="2"/>
    <x v="0"/>
    <x v="3"/>
    <x v="0"/>
    <x v="11"/>
    <x v="1"/>
  </r>
  <r>
    <s v="TX502073"/>
    <x v="8"/>
    <x v="1"/>
    <n v="57.5"/>
    <n v="115"/>
    <x v="75"/>
    <d v="2025-03-19T00:00:00"/>
    <x v="1"/>
    <x v="1"/>
    <x v="2"/>
    <x v="0"/>
    <x v="3"/>
    <x v="1"/>
    <x v="11"/>
    <x v="1"/>
  </r>
  <r>
    <s v="TX502074"/>
    <x v="8"/>
    <x v="0"/>
    <n v="34.299999999999997"/>
    <n v="34.299999999999997"/>
    <x v="75"/>
    <d v="2025-03-18T00:00:00"/>
    <x v="2"/>
    <x v="4"/>
    <x v="2"/>
    <x v="0"/>
    <x v="3"/>
    <x v="3"/>
    <x v="11"/>
    <x v="2"/>
  </r>
  <r>
    <s v="TX502075"/>
    <x v="5"/>
    <x v="1"/>
    <n v="27.8"/>
    <n v="55.6"/>
    <x v="76"/>
    <d v="2025-03-20T00:00:00"/>
    <x v="2"/>
    <x v="0"/>
    <x v="0"/>
    <x v="0"/>
    <x v="3"/>
    <x v="1"/>
    <x v="11"/>
    <x v="2"/>
  </r>
  <r>
    <s v="TX502076"/>
    <x v="12"/>
    <x v="1"/>
    <n v="85"/>
    <n v="170"/>
    <x v="76"/>
    <d v="2025-03-18T00:00:00"/>
    <x v="1"/>
    <x v="2"/>
    <x v="2"/>
    <x v="0"/>
    <x v="3"/>
    <x v="7"/>
    <x v="11"/>
    <x v="1"/>
  </r>
  <r>
    <s v="TX502077"/>
    <x v="6"/>
    <x v="1"/>
    <n v="95"/>
    <n v="190"/>
    <x v="76"/>
    <d v="2025-03-20T00:00:00"/>
    <x v="2"/>
    <x v="0"/>
    <x v="0"/>
    <x v="0"/>
    <x v="3"/>
    <x v="1"/>
    <x v="11"/>
    <x v="2"/>
  </r>
  <r>
    <s v="TX502078"/>
    <x v="16"/>
    <x v="1"/>
    <n v="32"/>
    <n v="64"/>
    <x v="76"/>
    <d v="2025-03-20T00:00:00"/>
    <x v="1"/>
    <x v="0"/>
    <x v="1"/>
    <x v="0"/>
    <x v="3"/>
    <x v="1"/>
    <x v="11"/>
    <x v="1"/>
  </r>
  <r>
    <s v="TX502079"/>
    <x v="2"/>
    <x v="1"/>
    <n v="65.2"/>
    <n v="130.4"/>
    <x v="76"/>
    <d v="2025-03-19T00:00:00"/>
    <x v="2"/>
    <x v="1"/>
    <x v="0"/>
    <x v="0"/>
    <x v="3"/>
    <x v="3"/>
    <x v="11"/>
    <x v="2"/>
  </r>
  <r>
    <s v="TX502080"/>
    <x v="17"/>
    <x v="12"/>
    <n v="22"/>
    <n v="88"/>
    <x v="76"/>
    <d v="2025-03-19T00:00:00"/>
    <x v="1"/>
    <x v="1"/>
    <x v="2"/>
    <x v="0"/>
    <x v="3"/>
    <x v="3"/>
    <x v="11"/>
    <x v="1"/>
  </r>
  <r>
    <s v="TX502081"/>
    <x v="15"/>
    <x v="2"/>
    <n v="69.400000000000006"/>
    <n v="208.20000000000002"/>
    <x v="76"/>
    <d v="2025-03-21T00:00:00"/>
    <x v="1"/>
    <x v="1"/>
    <x v="2"/>
    <x v="0"/>
    <x v="3"/>
    <x v="2"/>
    <x v="11"/>
    <x v="1"/>
  </r>
  <r>
    <s v="TX502082"/>
    <x v="10"/>
    <x v="13"/>
    <n v="31.5"/>
    <n v="189"/>
    <x v="76"/>
    <d v="2025-03-20T00:00:00"/>
    <x v="2"/>
    <x v="0"/>
    <x v="2"/>
    <x v="0"/>
    <x v="3"/>
    <x v="1"/>
    <x v="11"/>
    <x v="2"/>
  </r>
  <r>
    <s v="TX502083"/>
    <x v="6"/>
    <x v="0"/>
    <n v="45.8"/>
    <n v="45.8"/>
    <x v="76"/>
    <d v="2025-03-22T00:00:00"/>
    <x v="3"/>
    <x v="0"/>
    <x v="0"/>
    <x v="0"/>
    <x v="3"/>
    <x v="5"/>
    <x v="11"/>
    <x v="3"/>
  </r>
  <r>
    <s v="TX502084"/>
    <x v="19"/>
    <x v="12"/>
    <n v="12.8"/>
    <n v="51.2"/>
    <x v="76"/>
    <d v="2025-03-25T00:00:00"/>
    <x v="2"/>
    <x v="1"/>
    <x v="1"/>
    <x v="0"/>
    <x v="5"/>
    <x v="6"/>
    <x v="11"/>
    <x v="2"/>
  </r>
  <r>
    <s v="TX502085"/>
    <x v="5"/>
    <x v="2"/>
    <n v="115.3"/>
    <n v="345.9"/>
    <x v="76"/>
    <d v="2025-03-19T00:00:00"/>
    <x v="2"/>
    <x v="2"/>
    <x v="2"/>
    <x v="0"/>
    <x v="6"/>
    <x v="3"/>
    <x v="11"/>
    <x v="2"/>
  </r>
  <r>
    <s v="TX502086"/>
    <x v="5"/>
    <x v="1"/>
    <n v="85"/>
    <n v="170"/>
    <x v="76"/>
    <d v="2025-03-20T00:00:00"/>
    <x v="2"/>
    <x v="1"/>
    <x v="0"/>
    <x v="0"/>
    <x v="7"/>
    <x v="1"/>
    <x v="11"/>
    <x v="2"/>
  </r>
  <r>
    <s v="TX502087"/>
    <x v="8"/>
    <x v="2"/>
    <n v="56.6"/>
    <n v="169.8"/>
    <x v="76"/>
    <d v="2025-03-19T00:00:00"/>
    <x v="2"/>
    <x v="1"/>
    <x v="2"/>
    <x v="0"/>
    <x v="7"/>
    <x v="3"/>
    <x v="11"/>
    <x v="2"/>
  </r>
  <r>
    <s v="TX502088"/>
    <x v="15"/>
    <x v="6"/>
    <n v="46.3"/>
    <n v="1250.0999999999999"/>
    <x v="76"/>
    <d v="2025-03-21T00:00:00"/>
    <x v="1"/>
    <x v="0"/>
    <x v="0"/>
    <x v="0"/>
    <x v="7"/>
    <x v="2"/>
    <x v="11"/>
    <x v="1"/>
  </r>
  <r>
    <s v="TX502089"/>
    <x v="14"/>
    <x v="12"/>
    <n v="23"/>
    <n v="92"/>
    <x v="76"/>
    <d v="2025-03-22T00:00:00"/>
    <x v="1"/>
    <x v="3"/>
    <x v="2"/>
    <x v="0"/>
    <x v="7"/>
    <x v="5"/>
    <x v="11"/>
    <x v="1"/>
  </r>
  <r>
    <s v="TX502090"/>
    <x v="8"/>
    <x v="13"/>
    <n v="42.1"/>
    <n v="252.60000000000002"/>
    <x v="76"/>
    <d v="2025-03-20T00:00:00"/>
    <x v="1"/>
    <x v="4"/>
    <x v="0"/>
    <x v="0"/>
    <x v="8"/>
    <x v="1"/>
    <x v="11"/>
    <x v="1"/>
  </r>
  <r>
    <s v="TX502091"/>
    <x v="5"/>
    <x v="3"/>
    <n v="57.4"/>
    <n v="401.8"/>
    <x v="76"/>
    <d v="2025-03-22T00:00:00"/>
    <x v="2"/>
    <x v="1"/>
    <x v="4"/>
    <x v="0"/>
    <x v="8"/>
    <x v="5"/>
    <x v="11"/>
    <x v="2"/>
  </r>
  <r>
    <s v="TX502092"/>
    <x v="0"/>
    <x v="13"/>
    <n v="13.2"/>
    <n v="79.199999999999989"/>
    <x v="76"/>
    <d v="2025-03-22T00:00:00"/>
    <x v="1"/>
    <x v="2"/>
    <x v="0"/>
    <x v="0"/>
    <x v="8"/>
    <x v="5"/>
    <x v="11"/>
    <x v="1"/>
  </r>
  <r>
    <s v="TX502093"/>
    <x v="6"/>
    <x v="2"/>
    <n v="52.3"/>
    <n v="156.89999999999998"/>
    <x v="76"/>
    <d v="2025-03-19T00:00:00"/>
    <x v="1"/>
    <x v="1"/>
    <x v="0"/>
    <x v="0"/>
    <x v="8"/>
    <x v="3"/>
    <x v="11"/>
    <x v="1"/>
  </r>
  <r>
    <s v="TX502094"/>
    <x v="8"/>
    <x v="1"/>
    <n v="15.7"/>
    <n v="31.4"/>
    <x v="76"/>
    <d v="2025-03-21T00:00:00"/>
    <x v="1"/>
    <x v="1"/>
    <x v="2"/>
    <x v="0"/>
    <x v="8"/>
    <x v="2"/>
    <x v="11"/>
    <x v="1"/>
  </r>
  <r>
    <s v="TX502095"/>
    <x v="7"/>
    <x v="2"/>
    <n v="35"/>
    <n v="105"/>
    <x v="76"/>
    <d v="2025-03-21T00:00:00"/>
    <x v="2"/>
    <x v="1"/>
    <x v="2"/>
    <x v="0"/>
    <x v="9"/>
    <x v="2"/>
    <x v="11"/>
    <x v="2"/>
  </r>
  <r>
    <s v="TX502096"/>
    <x v="4"/>
    <x v="2"/>
    <n v="26.6"/>
    <n v="79.800000000000011"/>
    <x v="76"/>
    <d v="2025-03-18T00:00:00"/>
    <x v="1"/>
    <x v="1"/>
    <x v="2"/>
    <x v="0"/>
    <x v="11"/>
    <x v="7"/>
    <x v="11"/>
    <x v="1"/>
  </r>
  <r>
    <s v="TX502097"/>
    <x v="4"/>
    <x v="8"/>
    <n v="47.9"/>
    <n v="383.2"/>
    <x v="77"/>
    <d v="2025-03-20T00:00:00"/>
    <x v="2"/>
    <x v="3"/>
    <x v="2"/>
    <x v="0"/>
    <x v="20"/>
    <x v="3"/>
    <x v="11"/>
    <x v="2"/>
  </r>
  <r>
    <s v="TX502098"/>
    <x v="5"/>
    <x v="0"/>
    <n v="80.099999999999994"/>
    <n v="80.099999999999994"/>
    <x v="77"/>
    <d v="2025-03-20T00:00:00"/>
    <x v="1"/>
    <x v="2"/>
    <x v="0"/>
    <x v="0"/>
    <x v="21"/>
    <x v="3"/>
    <x v="11"/>
    <x v="1"/>
  </r>
  <r>
    <s v="TX502099"/>
    <x v="6"/>
    <x v="9"/>
    <n v="50.4"/>
    <n v="252"/>
    <x v="77"/>
    <d v="2025-03-20T00:00:00"/>
    <x v="1"/>
    <x v="1"/>
    <x v="2"/>
    <x v="0"/>
    <x v="21"/>
    <x v="3"/>
    <x v="11"/>
    <x v="1"/>
  </r>
  <r>
    <s v="TX502100"/>
    <x v="10"/>
    <x v="3"/>
    <n v="43.3"/>
    <n v="303.09999999999997"/>
    <x v="77"/>
    <d v="2025-03-20T00:00:00"/>
    <x v="1"/>
    <x v="2"/>
    <x v="0"/>
    <x v="0"/>
    <x v="21"/>
    <x v="3"/>
    <x v="11"/>
    <x v="1"/>
  </r>
  <r>
    <s v="TX502101"/>
    <x v="10"/>
    <x v="12"/>
    <n v="57.5"/>
    <n v="230"/>
    <x v="77"/>
    <d v="2025-03-20T00:00:00"/>
    <x v="2"/>
    <x v="1"/>
    <x v="2"/>
    <x v="0"/>
    <x v="1"/>
    <x v="3"/>
    <x v="11"/>
    <x v="2"/>
  </r>
  <r>
    <s v="TX502102"/>
    <x v="9"/>
    <x v="15"/>
    <n v="24.8"/>
    <n v="322.40000000000003"/>
    <x v="77"/>
    <d v="2025-03-20T00:00:00"/>
    <x v="1"/>
    <x v="0"/>
    <x v="0"/>
    <x v="0"/>
    <x v="57"/>
    <x v="3"/>
    <x v="11"/>
    <x v="1"/>
  </r>
  <r>
    <s v="TX502103"/>
    <x v="2"/>
    <x v="11"/>
    <n v="85.7"/>
    <n v="771.30000000000007"/>
    <x v="77"/>
    <d v="2025-03-20T00:00:00"/>
    <x v="2"/>
    <x v="0"/>
    <x v="0"/>
    <x v="0"/>
    <x v="42"/>
    <x v="3"/>
    <x v="11"/>
    <x v="2"/>
  </r>
  <r>
    <s v="TX502104"/>
    <x v="7"/>
    <x v="0"/>
    <n v="47.1"/>
    <n v="47.1"/>
    <x v="77"/>
    <d v="2025-03-21T00:00:00"/>
    <x v="2"/>
    <x v="0"/>
    <x v="0"/>
    <x v="0"/>
    <x v="2"/>
    <x v="1"/>
    <x v="11"/>
    <x v="2"/>
  </r>
  <r>
    <s v="TX502105"/>
    <x v="5"/>
    <x v="7"/>
    <n v="83.2"/>
    <n v="832"/>
    <x v="77"/>
    <d v="2025-03-23T00:00:00"/>
    <x v="2"/>
    <x v="0"/>
    <x v="0"/>
    <x v="0"/>
    <x v="33"/>
    <x v="5"/>
    <x v="11"/>
    <x v="2"/>
  </r>
  <r>
    <s v="TX502106"/>
    <x v="2"/>
    <x v="2"/>
    <n v="157"/>
    <n v="471"/>
    <x v="77"/>
    <d v="2025-03-21T00:00:00"/>
    <x v="2"/>
    <x v="0"/>
    <x v="2"/>
    <x v="0"/>
    <x v="22"/>
    <x v="1"/>
    <x v="11"/>
    <x v="2"/>
  </r>
  <r>
    <s v="TX502107"/>
    <x v="16"/>
    <x v="12"/>
    <n v="33.700000000000003"/>
    <n v="134.80000000000001"/>
    <x v="77"/>
    <d v="2025-03-20T00:00:00"/>
    <x v="1"/>
    <x v="2"/>
    <x v="2"/>
    <x v="0"/>
    <x v="22"/>
    <x v="3"/>
    <x v="11"/>
    <x v="1"/>
  </r>
  <r>
    <s v="TX502108"/>
    <x v="2"/>
    <x v="2"/>
    <n v="60.8"/>
    <n v="182.39999999999998"/>
    <x v="77"/>
    <d v="2025-03-23T00:00:00"/>
    <x v="2"/>
    <x v="1"/>
    <x v="1"/>
    <x v="0"/>
    <x v="3"/>
    <x v="5"/>
    <x v="11"/>
    <x v="2"/>
  </r>
  <r>
    <s v="TX502109"/>
    <x v="7"/>
    <x v="0"/>
    <n v="57.6"/>
    <n v="57.6"/>
    <x v="77"/>
    <d v="2025-03-20T00:00:00"/>
    <x v="1"/>
    <x v="1"/>
    <x v="4"/>
    <x v="0"/>
    <x v="3"/>
    <x v="3"/>
    <x v="11"/>
    <x v="1"/>
  </r>
  <r>
    <s v="TX502110"/>
    <x v="10"/>
    <x v="0"/>
    <n v="32"/>
    <n v="32"/>
    <x v="77"/>
    <d v="2025-03-21T00:00:00"/>
    <x v="1"/>
    <x v="0"/>
    <x v="0"/>
    <x v="0"/>
    <x v="3"/>
    <x v="1"/>
    <x v="11"/>
    <x v="1"/>
  </r>
  <r>
    <s v="TX502111"/>
    <x v="10"/>
    <x v="12"/>
    <n v="23.5"/>
    <n v="94"/>
    <x v="77"/>
    <d v="2025-03-20T00:00:00"/>
    <x v="2"/>
    <x v="0"/>
    <x v="2"/>
    <x v="0"/>
    <x v="3"/>
    <x v="3"/>
    <x v="11"/>
    <x v="2"/>
  </r>
  <r>
    <s v="TX502112"/>
    <x v="12"/>
    <x v="2"/>
    <n v="44.8"/>
    <n v="134.39999999999998"/>
    <x v="77"/>
    <d v="2025-03-20T00:00:00"/>
    <x v="3"/>
    <x v="4"/>
    <x v="0"/>
    <x v="0"/>
    <x v="3"/>
    <x v="3"/>
    <x v="11"/>
    <x v="3"/>
  </r>
  <r>
    <s v="TX502113"/>
    <x v="0"/>
    <x v="8"/>
    <n v="11.7"/>
    <n v="93.6"/>
    <x v="77"/>
    <d v="2025-03-20T00:00:00"/>
    <x v="1"/>
    <x v="2"/>
    <x v="2"/>
    <x v="0"/>
    <x v="3"/>
    <x v="3"/>
    <x v="11"/>
    <x v="1"/>
  </r>
  <r>
    <s v="TX502114"/>
    <x v="7"/>
    <x v="1"/>
    <n v="38.799999999999997"/>
    <n v="77.599999999999994"/>
    <x v="77"/>
    <d v="2025-03-22T00:00:00"/>
    <x v="2"/>
    <x v="2"/>
    <x v="0"/>
    <x v="0"/>
    <x v="3"/>
    <x v="2"/>
    <x v="11"/>
    <x v="2"/>
  </r>
  <r>
    <s v="TX502115"/>
    <x v="5"/>
    <x v="21"/>
    <n v="86.9"/>
    <n v="1216.6000000000001"/>
    <x v="77"/>
    <d v="2025-03-24T00:00:00"/>
    <x v="2"/>
    <x v="1"/>
    <x v="0"/>
    <x v="0"/>
    <x v="3"/>
    <x v="0"/>
    <x v="11"/>
    <x v="2"/>
  </r>
  <r>
    <s v="TX502116"/>
    <x v="8"/>
    <x v="0"/>
    <n v="18.3"/>
    <n v="18.3"/>
    <x v="77"/>
    <d v="2025-03-20T00:00:00"/>
    <x v="2"/>
    <x v="0"/>
    <x v="0"/>
    <x v="0"/>
    <x v="3"/>
    <x v="3"/>
    <x v="11"/>
    <x v="2"/>
  </r>
  <r>
    <s v="TX502117"/>
    <x v="5"/>
    <x v="0"/>
    <n v="47.5"/>
    <n v="47.5"/>
    <x v="77"/>
    <d v="2025-03-23T00:00:00"/>
    <x v="1"/>
    <x v="4"/>
    <x v="2"/>
    <x v="0"/>
    <x v="3"/>
    <x v="5"/>
    <x v="11"/>
    <x v="1"/>
  </r>
  <r>
    <s v="TX502118"/>
    <x v="1"/>
    <x v="1"/>
    <n v="78.599999999999994"/>
    <n v="157.19999999999999"/>
    <x v="77"/>
    <d v="2025-03-20T00:00:00"/>
    <x v="1"/>
    <x v="2"/>
    <x v="2"/>
    <x v="0"/>
    <x v="3"/>
    <x v="3"/>
    <x v="11"/>
    <x v="1"/>
  </r>
  <r>
    <s v="TX502119"/>
    <x v="6"/>
    <x v="12"/>
    <n v="87.3"/>
    <n v="349.2"/>
    <x v="77"/>
    <d v="2025-03-20T00:00:00"/>
    <x v="1"/>
    <x v="0"/>
    <x v="0"/>
    <x v="0"/>
    <x v="3"/>
    <x v="3"/>
    <x v="11"/>
    <x v="1"/>
  </r>
  <r>
    <s v="TX502120"/>
    <x v="9"/>
    <x v="1"/>
    <n v="63.2"/>
    <n v="126.4"/>
    <x v="77"/>
    <d v="2025-03-19T00:00:00"/>
    <x v="1"/>
    <x v="4"/>
    <x v="1"/>
    <x v="0"/>
    <x v="3"/>
    <x v="7"/>
    <x v="11"/>
    <x v="1"/>
  </r>
  <r>
    <s v="TX502121"/>
    <x v="5"/>
    <x v="9"/>
    <n v="33.700000000000003"/>
    <n v="168.5"/>
    <x v="77"/>
    <d v="2025-03-20T00:00:00"/>
    <x v="2"/>
    <x v="0"/>
    <x v="0"/>
    <x v="0"/>
    <x v="3"/>
    <x v="3"/>
    <x v="11"/>
    <x v="2"/>
  </r>
  <r>
    <s v="TX502122"/>
    <x v="2"/>
    <x v="2"/>
    <n v="107.4"/>
    <n v="322.20000000000005"/>
    <x v="77"/>
    <d v="2025-04-01T00:00:00"/>
    <x v="2"/>
    <x v="1"/>
    <x v="2"/>
    <x v="0"/>
    <x v="3"/>
    <x v="10"/>
    <x v="11"/>
    <x v="2"/>
  </r>
  <r>
    <s v="TX502123"/>
    <x v="4"/>
    <x v="12"/>
    <n v="22.2"/>
    <n v="88.8"/>
    <x v="77"/>
    <d v="2025-03-20T00:00:00"/>
    <x v="0"/>
    <x v="1"/>
    <x v="2"/>
    <x v="0"/>
    <x v="24"/>
    <x v="3"/>
    <x v="11"/>
    <x v="0"/>
  </r>
  <r>
    <s v="TX502124"/>
    <x v="18"/>
    <x v="2"/>
    <n v="52.8"/>
    <n v="158.39999999999998"/>
    <x v="77"/>
    <d v="2025-03-20T00:00:00"/>
    <x v="1"/>
    <x v="3"/>
    <x v="2"/>
    <x v="0"/>
    <x v="24"/>
    <x v="3"/>
    <x v="11"/>
    <x v="1"/>
  </r>
  <r>
    <s v="TX502125"/>
    <x v="8"/>
    <x v="2"/>
    <n v="41.5"/>
    <n v="124.5"/>
    <x v="77"/>
    <d v="2025-03-22T00:00:00"/>
    <x v="2"/>
    <x v="0"/>
    <x v="0"/>
    <x v="0"/>
    <x v="25"/>
    <x v="2"/>
    <x v="11"/>
    <x v="2"/>
  </r>
  <r>
    <s v="TX502126"/>
    <x v="12"/>
    <x v="8"/>
    <n v="103.5"/>
    <n v="828"/>
    <x v="77"/>
    <d v="2025-03-22T00:00:00"/>
    <x v="2"/>
    <x v="0"/>
    <x v="2"/>
    <x v="0"/>
    <x v="23"/>
    <x v="2"/>
    <x v="11"/>
    <x v="2"/>
  </r>
  <r>
    <s v="TX502127"/>
    <x v="4"/>
    <x v="21"/>
    <n v="37.5"/>
    <n v="525"/>
    <x v="77"/>
    <d v="2025-03-19T00:00:00"/>
    <x v="2"/>
    <x v="1"/>
    <x v="2"/>
    <x v="0"/>
    <x v="6"/>
    <x v="7"/>
    <x v="11"/>
    <x v="2"/>
  </r>
  <r>
    <s v="TX502128"/>
    <x v="15"/>
    <x v="8"/>
    <n v="44.4"/>
    <n v="355.2"/>
    <x v="77"/>
    <d v="2025-03-25T00:00:00"/>
    <x v="2"/>
    <x v="3"/>
    <x v="2"/>
    <x v="0"/>
    <x v="7"/>
    <x v="4"/>
    <x v="11"/>
    <x v="2"/>
  </r>
  <r>
    <s v="TX502129"/>
    <x v="8"/>
    <x v="2"/>
    <n v="26.2"/>
    <n v="78.599999999999994"/>
    <x v="77"/>
    <d v="2025-03-20T00:00:00"/>
    <x v="1"/>
    <x v="0"/>
    <x v="0"/>
    <x v="0"/>
    <x v="8"/>
    <x v="3"/>
    <x v="11"/>
    <x v="1"/>
  </r>
  <r>
    <s v="TX502130"/>
    <x v="1"/>
    <x v="3"/>
    <n v="32.200000000000003"/>
    <n v="225.40000000000003"/>
    <x v="77"/>
    <d v="2025-03-20T00:00:00"/>
    <x v="2"/>
    <x v="1"/>
    <x v="2"/>
    <x v="0"/>
    <x v="8"/>
    <x v="3"/>
    <x v="11"/>
    <x v="2"/>
  </r>
  <r>
    <s v="TX502131"/>
    <x v="8"/>
    <x v="0"/>
    <n v="17.399999999999999"/>
    <n v="17.399999999999999"/>
    <x v="77"/>
    <d v="2025-03-23T00:00:00"/>
    <x v="0"/>
    <x v="2"/>
    <x v="1"/>
    <x v="0"/>
    <x v="8"/>
    <x v="5"/>
    <x v="11"/>
    <x v="0"/>
  </r>
  <r>
    <s v="TX502132"/>
    <x v="8"/>
    <x v="13"/>
    <n v="72.3"/>
    <n v="433.79999999999995"/>
    <x v="77"/>
    <d v="2025-03-22T00:00:00"/>
    <x v="2"/>
    <x v="0"/>
    <x v="0"/>
    <x v="0"/>
    <x v="8"/>
    <x v="2"/>
    <x v="11"/>
    <x v="2"/>
  </r>
  <r>
    <s v="TX502133"/>
    <x v="8"/>
    <x v="5"/>
    <n v="24.3"/>
    <n v="267.3"/>
    <x v="77"/>
    <d v="2025-03-20T00:00:00"/>
    <x v="1"/>
    <x v="0"/>
    <x v="0"/>
    <x v="0"/>
    <x v="8"/>
    <x v="3"/>
    <x v="11"/>
    <x v="1"/>
  </r>
  <r>
    <s v="TX502134"/>
    <x v="13"/>
    <x v="2"/>
    <n v="49.1"/>
    <n v="147.30000000000001"/>
    <x v="77"/>
    <d v="2025-03-25T00:00:00"/>
    <x v="1"/>
    <x v="2"/>
    <x v="4"/>
    <x v="0"/>
    <x v="8"/>
    <x v="4"/>
    <x v="11"/>
    <x v="1"/>
  </r>
  <r>
    <s v="TX502135"/>
    <x v="2"/>
    <x v="7"/>
    <n v="234.7"/>
    <n v="2347"/>
    <x v="77"/>
    <d v="2025-03-20T00:00:00"/>
    <x v="1"/>
    <x v="3"/>
    <x v="1"/>
    <x v="0"/>
    <x v="8"/>
    <x v="3"/>
    <x v="11"/>
    <x v="1"/>
  </r>
  <r>
    <s v="TX502136"/>
    <x v="3"/>
    <x v="9"/>
    <n v="76.099999999999994"/>
    <n v="380.5"/>
    <x v="77"/>
    <d v="2025-03-21T00:00:00"/>
    <x v="1"/>
    <x v="1"/>
    <x v="1"/>
    <x v="0"/>
    <x v="17"/>
    <x v="1"/>
    <x v="11"/>
    <x v="1"/>
  </r>
  <r>
    <s v="TX502137"/>
    <x v="1"/>
    <x v="2"/>
    <n v="93.9"/>
    <n v="281.70000000000005"/>
    <x v="77"/>
    <d v="2025-03-20T00:00:00"/>
    <x v="1"/>
    <x v="1"/>
    <x v="4"/>
    <x v="0"/>
    <x v="11"/>
    <x v="3"/>
    <x v="11"/>
    <x v="1"/>
  </r>
  <r>
    <s v="TX502138"/>
    <x v="2"/>
    <x v="12"/>
    <n v="187"/>
    <n v="748"/>
    <x v="78"/>
    <d v="2025-03-23T00:00:00"/>
    <x v="1"/>
    <x v="0"/>
    <x v="0"/>
    <x v="0"/>
    <x v="11"/>
    <x v="2"/>
    <x v="11"/>
    <x v="1"/>
  </r>
  <r>
    <s v="TX502139"/>
    <x v="8"/>
    <x v="1"/>
    <n v="18"/>
    <n v="36"/>
    <x v="78"/>
    <d v="2025-03-21T00:00:00"/>
    <x v="2"/>
    <x v="1"/>
    <x v="2"/>
    <x v="0"/>
    <x v="53"/>
    <x v="3"/>
    <x v="11"/>
    <x v="2"/>
  </r>
  <r>
    <s v="TX502140"/>
    <x v="4"/>
    <x v="0"/>
    <n v="24.4"/>
    <n v="24.4"/>
    <x v="78"/>
    <d v="2025-03-21T00:00:00"/>
    <x v="2"/>
    <x v="4"/>
    <x v="2"/>
    <x v="0"/>
    <x v="21"/>
    <x v="3"/>
    <x v="11"/>
    <x v="2"/>
  </r>
  <r>
    <s v="TX502141"/>
    <x v="10"/>
    <x v="1"/>
    <n v="38.799999999999997"/>
    <n v="77.599999999999994"/>
    <x v="78"/>
    <d v="2025-03-21T00:00:00"/>
    <x v="1"/>
    <x v="4"/>
    <x v="1"/>
    <x v="0"/>
    <x v="3"/>
    <x v="3"/>
    <x v="11"/>
    <x v="1"/>
  </r>
  <r>
    <s v="TX502142"/>
    <x v="3"/>
    <x v="0"/>
    <n v="59.7"/>
    <n v="59.7"/>
    <x v="78"/>
    <d v="2025-03-23T00:00:00"/>
    <x v="1"/>
    <x v="3"/>
    <x v="0"/>
    <x v="0"/>
    <x v="3"/>
    <x v="2"/>
    <x v="11"/>
    <x v="1"/>
  </r>
  <r>
    <s v="TX502143"/>
    <x v="7"/>
    <x v="0"/>
    <n v="31.2"/>
    <n v="31.2"/>
    <x v="78"/>
    <d v="2025-03-21T00:00:00"/>
    <x v="1"/>
    <x v="1"/>
    <x v="2"/>
    <x v="0"/>
    <x v="3"/>
    <x v="3"/>
    <x v="11"/>
    <x v="1"/>
  </r>
  <r>
    <s v="TX502144"/>
    <x v="0"/>
    <x v="0"/>
    <n v="16.8"/>
    <n v="16.8"/>
    <x v="78"/>
    <d v="2025-03-21T00:00:00"/>
    <x v="2"/>
    <x v="2"/>
    <x v="1"/>
    <x v="0"/>
    <x v="3"/>
    <x v="3"/>
    <x v="11"/>
    <x v="2"/>
  </r>
  <r>
    <s v="TX502145"/>
    <x v="8"/>
    <x v="0"/>
    <n v="46"/>
    <n v="46"/>
    <x v="78"/>
    <d v="2025-03-21T00:00:00"/>
    <x v="1"/>
    <x v="0"/>
    <x v="0"/>
    <x v="0"/>
    <x v="3"/>
    <x v="3"/>
    <x v="11"/>
    <x v="1"/>
  </r>
  <r>
    <s v="TX502146"/>
    <x v="9"/>
    <x v="8"/>
    <n v="42.2"/>
    <n v="337.6"/>
    <x v="78"/>
    <d v="2025-03-23T00:00:00"/>
    <x v="2"/>
    <x v="3"/>
    <x v="2"/>
    <x v="0"/>
    <x v="3"/>
    <x v="2"/>
    <x v="11"/>
    <x v="2"/>
  </r>
  <r>
    <s v="TX502147"/>
    <x v="1"/>
    <x v="2"/>
    <n v="71.5"/>
    <n v="214.5"/>
    <x v="78"/>
    <d v="2025-04-03T00:00:00"/>
    <x v="2"/>
    <x v="0"/>
    <x v="0"/>
    <x v="0"/>
    <x v="3"/>
    <x v="12"/>
    <x v="11"/>
    <x v="2"/>
  </r>
  <r>
    <s v="TX502148"/>
    <x v="1"/>
    <x v="1"/>
    <n v="76.599999999999994"/>
    <n v="153.19999999999999"/>
    <x v="78"/>
    <d v="2025-03-20T00:00:00"/>
    <x v="1"/>
    <x v="0"/>
    <x v="2"/>
    <x v="0"/>
    <x v="3"/>
    <x v="7"/>
    <x v="11"/>
    <x v="1"/>
  </r>
  <r>
    <s v="TX502149"/>
    <x v="12"/>
    <x v="1"/>
    <n v="87.3"/>
    <n v="174.6"/>
    <x v="78"/>
    <d v="2025-03-28T00:00:00"/>
    <x v="2"/>
    <x v="3"/>
    <x v="2"/>
    <x v="0"/>
    <x v="3"/>
    <x v="9"/>
    <x v="11"/>
    <x v="2"/>
  </r>
  <r>
    <s v="TX502150"/>
    <x v="1"/>
    <x v="0"/>
    <n v="63"/>
    <n v="63"/>
    <x v="78"/>
    <d v="2025-03-23T00:00:00"/>
    <x v="1"/>
    <x v="3"/>
    <x v="0"/>
    <x v="0"/>
    <x v="3"/>
    <x v="2"/>
    <x v="11"/>
    <x v="1"/>
  </r>
  <r>
    <s v="TX502151"/>
    <x v="8"/>
    <x v="1"/>
    <n v="41.7"/>
    <n v="83.4"/>
    <x v="78"/>
    <d v="2025-03-21T00:00:00"/>
    <x v="2"/>
    <x v="4"/>
    <x v="1"/>
    <x v="0"/>
    <x v="43"/>
    <x v="3"/>
    <x v="11"/>
    <x v="2"/>
  </r>
  <r>
    <s v="TX502152"/>
    <x v="6"/>
    <x v="1"/>
    <n v="76.099999999999994"/>
    <n v="152.19999999999999"/>
    <x v="78"/>
    <d v="2025-03-20T00:00:00"/>
    <x v="2"/>
    <x v="4"/>
    <x v="2"/>
    <x v="0"/>
    <x v="16"/>
    <x v="7"/>
    <x v="11"/>
    <x v="2"/>
  </r>
  <r>
    <s v="TX502153"/>
    <x v="13"/>
    <x v="1"/>
    <n v="28.5"/>
    <n v="57"/>
    <x v="78"/>
    <d v="2025-03-21T00:00:00"/>
    <x v="2"/>
    <x v="0"/>
    <x v="2"/>
    <x v="0"/>
    <x v="4"/>
    <x v="3"/>
    <x v="11"/>
    <x v="2"/>
  </r>
  <r>
    <s v="TX502154"/>
    <x v="0"/>
    <x v="12"/>
    <n v="32.1"/>
    <n v="128.4"/>
    <x v="78"/>
    <d v="2025-03-21T00:00:00"/>
    <x v="2"/>
    <x v="1"/>
    <x v="2"/>
    <x v="0"/>
    <x v="25"/>
    <x v="3"/>
    <x v="11"/>
    <x v="2"/>
  </r>
  <r>
    <s v="TX502155"/>
    <x v="4"/>
    <x v="2"/>
    <n v="39"/>
    <n v="117"/>
    <x v="78"/>
    <d v="2025-03-23T00:00:00"/>
    <x v="1"/>
    <x v="1"/>
    <x v="2"/>
    <x v="0"/>
    <x v="25"/>
    <x v="2"/>
    <x v="11"/>
    <x v="1"/>
  </r>
  <r>
    <s v="TX502156"/>
    <x v="6"/>
    <x v="0"/>
    <n v="78.5"/>
    <n v="78.5"/>
    <x v="78"/>
    <d v="2025-03-21T00:00:00"/>
    <x v="1"/>
    <x v="1"/>
    <x v="0"/>
    <x v="0"/>
    <x v="6"/>
    <x v="3"/>
    <x v="11"/>
    <x v="1"/>
  </r>
  <r>
    <s v="TX502157"/>
    <x v="4"/>
    <x v="9"/>
    <n v="49.7"/>
    <n v="248.5"/>
    <x v="78"/>
    <d v="2025-03-22T00:00:00"/>
    <x v="2"/>
    <x v="0"/>
    <x v="0"/>
    <x v="0"/>
    <x v="6"/>
    <x v="1"/>
    <x v="11"/>
    <x v="2"/>
  </r>
  <r>
    <s v="TX502158"/>
    <x v="1"/>
    <x v="12"/>
    <n v="68.400000000000006"/>
    <n v="273.60000000000002"/>
    <x v="78"/>
    <d v="2025-03-21T00:00:00"/>
    <x v="2"/>
    <x v="2"/>
    <x v="2"/>
    <x v="0"/>
    <x v="7"/>
    <x v="3"/>
    <x v="11"/>
    <x v="2"/>
  </r>
  <r>
    <s v="TX502159"/>
    <x v="3"/>
    <x v="1"/>
    <n v="72.900000000000006"/>
    <n v="145.80000000000001"/>
    <x v="78"/>
    <d v="2025-03-23T00:00:00"/>
    <x v="0"/>
    <x v="0"/>
    <x v="2"/>
    <x v="0"/>
    <x v="7"/>
    <x v="2"/>
    <x v="11"/>
    <x v="0"/>
  </r>
  <r>
    <s v="TX502160"/>
    <x v="5"/>
    <x v="15"/>
    <n v="30.3"/>
    <n v="393.90000000000003"/>
    <x v="78"/>
    <d v="2025-03-21T00:00:00"/>
    <x v="1"/>
    <x v="4"/>
    <x v="0"/>
    <x v="0"/>
    <x v="7"/>
    <x v="3"/>
    <x v="11"/>
    <x v="1"/>
  </r>
  <r>
    <s v="TX502161"/>
    <x v="6"/>
    <x v="5"/>
    <n v="57.9"/>
    <n v="636.9"/>
    <x v="78"/>
    <d v="2025-03-21T00:00:00"/>
    <x v="2"/>
    <x v="0"/>
    <x v="0"/>
    <x v="0"/>
    <x v="8"/>
    <x v="3"/>
    <x v="11"/>
    <x v="2"/>
  </r>
  <r>
    <s v="TX502162"/>
    <x v="1"/>
    <x v="0"/>
    <n v="96.7"/>
    <n v="96.7"/>
    <x v="78"/>
    <d v="2025-03-21T00:00:00"/>
    <x v="1"/>
    <x v="0"/>
    <x v="0"/>
    <x v="0"/>
    <x v="8"/>
    <x v="3"/>
    <x v="11"/>
    <x v="1"/>
  </r>
  <r>
    <s v="TX502163"/>
    <x v="8"/>
    <x v="4"/>
    <n v="27.6"/>
    <n v="331.20000000000005"/>
    <x v="78"/>
    <d v="2025-03-22T00:00:00"/>
    <x v="1"/>
    <x v="2"/>
    <x v="2"/>
    <x v="0"/>
    <x v="8"/>
    <x v="1"/>
    <x v="11"/>
    <x v="1"/>
  </r>
  <r>
    <s v="TX502164"/>
    <x v="6"/>
    <x v="12"/>
    <n v="64.7"/>
    <n v="258.8"/>
    <x v="78"/>
    <d v="2025-03-20T00:00:00"/>
    <x v="1"/>
    <x v="3"/>
    <x v="2"/>
    <x v="0"/>
    <x v="8"/>
    <x v="7"/>
    <x v="11"/>
    <x v="1"/>
  </r>
  <r>
    <s v="TX502165"/>
    <x v="10"/>
    <x v="13"/>
    <n v="30.5"/>
    <n v="183"/>
    <x v="78"/>
    <d v="2025-03-21T00:00:00"/>
    <x v="1"/>
    <x v="4"/>
    <x v="0"/>
    <x v="0"/>
    <x v="8"/>
    <x v="3"/>
    <x v="11"/>
    <x v="1"/>
  </r>
  <r>
    <s v="TX502166"/>
    <x v="6"/>
    <x v="47"/>
    <n v="106"/>
    <n v="7420"/>
    <x v="79"/>
    <d v="2025-03-23T00:00:00"/>
    <x v="1"/>
    <x v="4"/>
    <x v="2"/>
    <x v="0"/>
    <x v="8"/>
    <x v="1"/>
    <x v="11"/>
    <x v="1"/>
  </r>
  <r>
    <s v="TX502167"/>
    <x v="12"/>
    <x v="9"/>
    <n v="76.8"/>
    <n v="384"/>
    <x v="79"/>
    <d v="2025-03-27T00:00:00"/>
    <x v="0"/>
    <x v="1"/>
    <x v="1"/>
    <x v="0"/>
    <x v="18"/>
    <x v="4"/>
    <x v="11"/>
    <x v="0"/>
  </r>
  <r>
    <s v="TX502168"/>
    <x v="6"/>
    <x v="1"/>
    <n v="80.400000000000006"/>
    <n v="160.80000000000001"/>
    <x v="79"/>
    <d v="2025-03-22T00:00:00"/>
    <x v="2"/>
    <x v="2"/>
    <x v="0"/>
    <x v="0"/>
    <x v="13"/>
    <x v="3"/>
    <x v="11"/>
    <x v="2"/>
  </r>
  <r>
    <s v="TX502169"/>
    <x v="6"/>
    <x v="12"/>
    <n v="69.099999999999994"/>
    <n v="276.39999999999998"/>
    <x v="79"/>
    <d v="2025-03-22T00:00:00"/>
    <x v="1"/>
    <x v="1"/>
    <x v="2"/>
    <x v="0"/>
    <x v="21"/>
    <x v="3"/>
    <x v="11"/>
    <x v="1"/>
  </r>
  <r>
    <s v="TX502170"/>
    <x v="18"/>
    <x v="1"/>
    <n v="76.400000000000006"/>
    <n v="152.80000000000001"/>
    <x v="79"/>
    <d v="2025-03-21T00:00:00"/>
    <x v="1"/>
    <x v="3"/>
    <x v="0"/>
    <x v="0"/>
    <x v="21"/>
    <x v="7"/>
    <x v="11"/>
    <x v="1"/>
  </r>
  <r>
    <s v="TX502171"/>
    <x v="2"/>
    <x v="1"/>
    <n v="61.3"/>
    <n v="122.6"/>
    <x v="79"/>
    <d v="2025-03-22T00:00:00"/>
    <x v="2"/>
    <x v="1"/>
    <x v="1"/>
    <x v="0"/>
    <x v="21"/>
    <x v="3"/>
    <x v="11"/>
    <x v="2"/>
  </r>
  <r>
    <s v="TX502172"/>
    <x v="7"/>
    <x v="0"/>
    <n v="58"/>
    <n v="58"/>
    <x v="79"/>
    <d v="2025-03-22T00:00:00"/>
    <x v="1"/>
    <x v="3"/>
    <x v="1"/>
    <x v="0"/>
    <x v="1"/>
    <x v="3"/>
    <x v="11"/>
    <x v="1"/>
  </r>
  <r>
    <s v="TX502173"/>
    <x v="2"/>
    <x v="8"/>
    <n v="102.3"/>
    <n v="818.4"/>
    <x v="79"/>
    <d v="2025-03-23T00:00:00"/>
    <x v="1"/>
    <x v="2"/>
    <x v="0"/>
    <x v="0"/>
    <x v="42"/>
    <x v="1"/>
    <x v="11"/>
    <x v="1"/>
  </r>
  <r>
    <s v="TX502174"/>
    <x v="19"/>
    <x v="1"/>
    <n v="13.8"/>
    <n v="27.6"/>
    <x v="79"/>
    <d v="2025-03-22T00:00:00"/>
    <x v="2"/>
    <x v="4"/>
    <x v="2"/>
    <x v="0"/>
    <x v="2"/>
    <x v="3"/>
    <x v="11"/>
    <x v="2"/>
  </r>
  <r>
    <s v="TX502175"/>
    <x v="8"/>
    <x v="2"/>
    <n v="33.299999999999997"/>
    <n v="99.899999999999991"/>
    <x v="79"/>
    <d v="2025-03-24T00:00:00"/>
    <x v="2"/>
    <x v="2"/>
    <x v="0"/>
    <x v="0"/>
    <x v="22"/>
    <x v="2"/>
    <x v="11"/>
    <x v="2"/>
  </r>
  <r>
    <s v="TX502176"/>
    <x v="10"/>
    <x v="0"/>
    <n v="27.4"/>
    <n v="27.4"/>
    <x v="79"/>
    <d v="2025-03-24T00:00:00"/>
    <x v="1"/>
    <x v="0"/>
    <x v="2"/>
    <x v="0"/>
    <x v="22"/>
    <x v="2"/>
    <x v="11"/>
    <x v="1"/>
  </r>
  <r>
    <s v="TX502177"/>
    <x v="14"/>
    <x v="1"/>
    <n v="25.6"/>
    <n v="51.2"/>
    <x v="79"/>
    <d v="2025-03-22T00:00:00"/>
    <x v="2"/>
    <x v="1"/>
    <x v="1"/>
    <x v="0"/>
    <x v="3"/>
    <x v="3"/>
    <x v="11"/>
    <x v="2"/>
  </r>
  <r>
    <s v="TX502178"/>
    <x v="13"/>
    <x v="0"/>
    <n v="58.4"/>
    <n v="58.4"/>
    <x v="79"/>
    <d v="2025-03-22T00:00:00"/>
    <x v="2"/>
    <x v="2"/>
    <x v="2"/>
    <x v="0"/>
    <x v="3"/>
    <x v="3"/>
    <x v="11"/>
    <x v="2"/>
  </r>
  <r>
    <s v="TX502179"/>
    <x v="11"/>
    <x v="17"/>
    <n v="27"/>
    <n v="810"/>
    <x v="79"/>
    <d v="2025-03-22T00:00:00"/>
    <x v="2"/>
    <x v="4"/>
    <x v="0"/>
    <x v="0"/>
    <x v="3"/>
    <x v="3"/>
    <x v="11"/>
    <x v="2"/>
  </r>
  <r>
    <s v="TX502180"/>
    <x v="0"/>
    <x v="12"/>
    <n v="14.2"/>
    <n v="56.8"/>
    <x v="79"/>
    <d v="2025-03-22T00:00:00"/>
    <x v="1"/>
    <x v="0"/>
    <x v="2"/>
    <x v="0"/>
    <x v="3"/>
    <x v="3"/>
    <x v="11"/>
    <x v="1"/>
  </r>
  <r>
    <s v="TX502181"/>
    <x v="7"/>
    <x v="1"/>
    <n v="68"/>
    <n v="136"/>
    <x v="79"/>
    <d v="2025-03-31T00:00:00"/>
    <x v="1"/>
    <x v="2"/>
    <x v="1"/>
    <x v="0"/>
    <x v="3"/>
    <x v="14"/>
    <x v="11"/>
    <x v="1"/>
  </r>
  <r>
    <s v="TX502182"/>
    <x v="8"/>
    <x v="0"/>
    <n v="30.7"/>
    <n v="30.7"/>
    <x v="79"/>
    <d v="2025-03-22T00:00:00"/>
    <x v="1"/>
    <x v="0"/>
    <x v="0"/>
    <x v="0"/>
    <x v="3"/>
    <x v="3"/>
    <x v="11"/>
    <x v="1"/>
  </r>
  <r>
    <s v="TX502183"/>
    <x v="17"/>
    <x v="15"/>
    <n v="51.6"/>
    <n v="670.80000000000007"/>
    <x v="79"/>
    <d v="2025-03-24T00:00:00"/>
    <x v="3"/>
    <x v="1"/>
    <x v="2"/>
    <x v="0"/>
    <x v="3"/>
    <x v="2"/>
    <x v="11"/>
    <x v="3"/>
  </r>
  <r>
    <s v="TX502184"/>
    <x v="8"/>
    <x v="2"/>
    <n v="20.6"/>
    <n v="61.800000000000004"/>
    <x v="79"/>
    <d v="2025-03-25T00:00:00"/>
    <x v="2"/>
    <x v="4"/>
    <x v="2"/>
    <x v="0"/>
    <x v="3"/>
    <x v="5"/>
    <x v="11"/>
    <x v="2"/>
  </r>
  <r>
    <s v="TX502185"/>
    <x v="8"/>
    <x v="0"/>
    <n v="24.8"/>
    <n v="24.8"/>
    <x v="79"/>
    <d v="2025-03-22T00:00:00"/>
    <x v="1"/>
    <x v="4"/>
    <x v="0"/>
    <x v="0"/>
    <x v="3"/>
    <x v="3"/>
    <x v="11"/>
    <x v="1"/>
  </r>
  <r>
    <s v="TX502186"/>
    <x v="0"/>
    <x v="3"/>
    <n v="11.2"/>
    <n v="78.399999999999991"/>
    <x v="79"/>
    <d v="2025-03-24T00:00:00"/>
    <x v="1"/>
    <x v="1"/>
    <x v="0"/>
    <x v="0"/>
    <x v="3"/>
    <x v="2"/>
    <x v="11"/>
    <x v="1"/>
  </r>
  <r>
    <s v="TX502187"/>
    <x v="11"/>
    <x v="1"/>
    <n v="51.2"/>
    <n v="102.4"/>
    <x v="79"/>
    <d v="2025-03-22T00:00:00"/>
    <x v="2"/>
    <x v="1"/>
    <x v="2"/>
    <x v="0"/>
    <x v="3"/>
    <x v="3"/>
    <x v="11"/>
    <x v="2"/>
  </r>
  <r>
    <s v="TX502188"/>
    <x v="7"/>
    <x v="13"/>
    <n v="90.5"/>
    <n v="543"/>
    <x v="79"/>
    <d v="2025-03-22T00:00:00"/>
    <x v="2"/>
    <x v="1"/>
    <x v="4"/>
    <x v="0"/>
    <x v="3"/>
    <x v="3"/>
    <x v="11"/>
    <x v="2"/>
  </r>
  <r>
    <s v="TX502189"/>
    <x v="1"/>
    <x v="1"/>
    <n v="42.4"/>
    <n v="84.8"/>
    <x v="79"/>
    <d v="2025-03-22T00:00:00"/>
    <x v="1"/>
    <x v="1"/>
    <x v="2"/>
    <x v="0"/>
    <x v="4"/>
    <x v="3"/>
    <x v="11"/>
    <x v="1"/>
  </r>
  <r>
    <s v="TX502190"/>
    <x v="1"/>
    <x v="1"/>
    <n v="38.200000000000003"/>
    <n v="76.400000000000006"/>
    <x v="79"/>
    <d v="2025-03-22T00:00:00"/>
    <x v="1"/>
    <x v="0"/>
    <x v="0"/>
    <x v="0"/>
    <x v="5"/>
    <x v="3"/>
    <x v="11"/>
    <x v="1"/>
  </r>
  <r>
    <s v="TX502191"/>
    <x v="2"/>
    <x v="11"/>
    <n v="121.3"/>
    <n v="1091.7"/>
    <x v="79"/>
    <d v="2025-03-26T00:00:00"/>
    <x v="1"/>
    <x v="0"/>
    <x v="0"/>
    <x v="0"/>
    <x v="6"/>
    <x v="0"/>
    <x v="11"/>
    <x v="1"/>
  </r>
  <r>
    <s v="TX502192"/>
    <x v="6"/>
    <x v="1"/>
    <n v="46.9"/>
    <n v="93.8"/>
    <x v="79"/>
    <d v="2025-03-28T00:00:00"/>
    <x v="1"/>
    <x v="0"/>
    <x v="0"/>
    <x v="0"/>
    <x v="8"/>
    <x v="6"/>
    <x v="11"/>
    <x v="1"/>
  </r>
  <r>
    <s v="TX502193"/>
    <x v="10"/>
    <x v="0"/>
    <n v="55.3"/>
    <n v="55.3"/>
    <x v="79"/>
    <d v="2025-03-23T00:00:00"/>
    <x v="1"/>
    <x v="0"/>
    <x v="0"/>
    <x v="0"/>
    <x v="8"/>
    <x v="1"/>
    <x v="11"/>
    <x v="1"/>
  </r>
  <r>
    <s v="TX502194"/>
    <x v="2"/>
    <x v="2"/>
    <n v="70.599999999999994"/>
    <n v="211.79999999999998"/>
    <x v="80"/>
    <d v="2025-03-22T00:00:00"/>
    <x v="2"/>
    <x v="0"/>
    <x v="1"/>
    <x v="0"/>
    <x v="8"/>
    <x v="7"/>
    <x v="11"/>
    <x v="2"/>
  </r>
  <r>
    <s v="TX502195"/>
    <x v="14"/>
    <x v="12"/>
    <n v="26.1"/>
    <n v="104.4"/>
    <x v="80"/>
    <d v="2025-03-24T00:00:00"/>
    <x v="1"/>
    <x v="0"/>
    <x v="0"/>
    <x v="0"/>
    <x v="8"/>
    <x v="1"/>
    <x v="11"/>
    <x v="1"/>
  </r>
  <r>
    <s v="TX502196"/>
    <x v="9"/>
    <x v="5"/>
    <n v="34.5"/>
    <n v="379.5"/>
    <x v="80"/>
    <d v="2025-03-26T00:00:00"/>
    <x v="1"/>
    <x v="2"/>
    <x v="0"/>
    <x v="0"/>
    <x v="17"/>
    <x v="5"/>
    <x v="11"/>
    <x v="1"/>
  </r>
  <r>
    <s v="TX502197"/>
    <x v="1"/>
    <x v="1"/>
    <n v="64.2"/>
    <n v="128.4"/>
    <x v="80"/>
    <d v="2025-03-23T00:00:00"/>
    <x v="2"/>
    <x v="0"/>
    <x v="1"/>
    <x v="0"/>
    <x v="17"/>
    <x v="3"/>
    <x v="11"/>
    <x v="2"/>
  </r>
  <r>
    <s v="TX502198"/>
    <x v="2"/>
    <x v="12"/>
    <n v="145.69999999999999"/>
    <n v="582.79999999999995"/>
    <x v="80"/>
    <d v="2025-03-23T00:00:00"/>
    <x v="2"/>
    <x v="0"/>
    <x v="4"/>
    <x v="0"/>
    <x v="17"/>
    <x v="3"/>
    <x v="11"/>
    <x v="2"/>
  </r>
  <r>
    <s v="TX502199"/>
    <x v="12"/>
    <x v="1"/>
    <n v="78.5"/>
    <n v="157"/>
    <x v="80"/>
    <d v="2025-03-23T00:00:00"/>
    <x v="1"/>
    <x v="2"/>
    <x v="0"/>
    <x v="0"/>
    <x v="26"/>
    <x v="3"/>
    <x v="11"/>
    <x v="1"/>
  </r>
  <r>
    <s v="TX502200"/>
    <x v="1"/>
    <x v="0"/>
    <n v="34.200000000000003"/>
    <n v="34.200000000000003"/>
    <x v="80"/>
    <d v="2025-03-24T00:00:00"/>
    <x v="1"/>
    <x v="0"/>
    <x v="0"/>
    <x v="0"/>
    <x v="9"/>
    <x v="1"/>
    <x v="11"/>
    <x v="1"/>
  </r>
  <r>
    <s v="TX502201"/>
    <x v="19"/>
    <x v="0"/>
    <n v="26.2"/>
    <n v="26.2"/>
    <x v="80"/>
    <d v="2025-03-23T00:00:00"/>
    <x v="1"/>
    <x v="2"/>
    <x v="0"/>
    <x v="0"/>
    <x v="9"/>
    <x v="3"/>
    <x v="11"/>
    <x v="1"/>
  </r>
  <r>
    <s v="TX502202"/>
    <x v="6"/>
    <x v="12"/>
    <n v="53.2"/>
    <n v="212.8"/>
    <x v="80"/>
    <d v="2025-03-23T00:00:00"/>
    <x v="1"/>
    <x v="1"/>
    <x v="1"/>
    <x v="0"/>
    <x v="11"/>
    <x v="3"/>
    <x v="11"/>
    <x v="1"/>
  </r>
  <r>
    <s v="TX502203"/>
    <x v="1"/>
    <x v="0"/>
    <n v="35.4"/>
    <n v="35.4"/>
    <x v="80"/>
    <d v="2025-03-26T00:00:00"/>
    <x v="1"/>
    <x v="1"/>
    <x v="4"/>
    <x v="0"/>
    <x v="18"/>
    <x v="5"/>
    <x v="11"/>
    <x v="1"/>
  </r>
  <r>
    <s v="TX502204"/>
    <x v="14"/>
    <x v="1"/>
    <n v="21.3"/>
    <n v="42.6"/>
    <x v="80"/>
    <d v="2025-03-23T00:00:00"/>
    <x v="1"/>
    <x v="2"/>
    <x v="0"/>
    <x v="0"/>
    <x v="20"/>
    <x v="3"/>
    <x v="11"/>
    <x v="1"/>
  </r>
  <r>
    <s v="TX502205"/>
    <x v="8"/>
    <x v="12"/>
    <n v="32.9"/>
    <n v="131.6"/>
    <x v="80"/>
    <d v="2025-03-25T00:00:00"/>
    <x v="2"/>
    <x v="4"/>
    <x v="2"/>
    <x v="0"/>
    <x v="21"/>
    <x v="2"/>
    <x v="11"/>
    <x v="2"/>
  </r>
  <r>
    <s v="TX502206"/>
    <x v="5"/>
    <x v="20"/>
    <n v="85.5"/>
    <n v="1282.5"/>
    <x v="80"/>
    <d v="2025-03-24T00:00:00"/>
    <x v="2"/>
    <x v="3"/>
    <x v="1"/>
    <x v="0"/>
    <x v="21"/>
    <x v="1"/>
    <x v="11"/>
    <x v="2"/>
  </r>
  <r>
    <s v="TX502207"/>
    <x v="4"/>
    <x v="0"/>
    <n v="26.8"/>
    <n v="26.8"/>
    <x v="80"/>
    <d v="2025-03-23T00:00:00"/>
    <x v="2"/>
    <x v="0"/>
    <x v="1"/>
    <x v="0"/>
    <x v="2"/>
    <x v="3"/>
    <x v="11"/>
    <x v="2"/>
  </r>
  <r>
    <s v="TX502208"/>
    <x v="9"/>
    <x v="18"/>
    <n v="31.7"/>
    <n v="824.19999999999993"/>
    <x v="80"/>
    <d v="2025-03-22T00:00:00"/>
    <x v="2"/>
    <x v="3"/>
    <x v="0"/>
    <x v="0"/>
    <x v="2"/>
    <x v="7"/>
    <x v="11"/>
    <x v="2"/>
  </r>
  <r>
    <s v="TX502209"/>
    <x v="1"/>
    <x v="1"/>
    <n v="78.3"/>
    <n v="156.6"/>
    <x v="80"/>
    <d v="2025-03-24T00:00:00"/>
    <x v="2"/>
    <x v="1"/>
    <x v="1"/>
    <x v="0"/>
    <x v="3"/>
    <x v="1"/>
    <x v="11"/>
    <x v="2"/>
  </r>
  <r>
    <s v="TX502210"/>
    <x v="6"/>
    <x v="0"/>
    <n v="43.9"/>
    <n v="43.9"/>
    <x v="80"/>
    <d v="2025-03-23T00:00:00"/>
    <x v="1"/>
    <x v="0"/>
    <x v="0"/>
    <x v="0"/>
    <x v="3"/>
    <x v="3"/>
    <x v="11"/>
    <x v="1"/>
  </r>
  <r>
    <s v="TX502211"/>
    <x v="18"/>
    <x v="2"/>
    <n v="84"/>
    <n v="252"/>
    <x v="80"/>
    <d v="2025-03-24T00:00:00"/>
    <x v="0"/>
    <x v="3"/>
    <x v="2"/>
    <x v="0"/>
    <x v="3"/>
    <x v="1"/>
    <x v="11"/>
    <x v="0"/>
  </r>
  <r>
    <s v="TX502212"/>
    <x v="0"/>
    <x v="2"/>
    <n v="11.4"/>
    <n v="34.200000000000003"/>
    <x v="80"/>
    <d v="2025-03-23T00:00:00"/>
    <x v="1"/>
    <x v="4"/>
    <x v="0"/>
    <x v="0"/>
    <x v="3"/>
    <x v="3"/>
    <x v="11"/>
    <x v="1"/>
  </r>
  <r>
    <s v="TX502213"/>
    <x v="12"/>
    <x v="8"/>
    <n v="47.5"/>
    <n v="380"/>
    <x v="80"/>
    <d v="2025-03-30T00:00:00"/>
    <x v="2"/>
    <x v="0"/>
    <x v="0"/>
    <x v="0"/>
    <x v="3"/>
    <x v="9"/>
    <x v="11"/>
    <x v="2"/>
  </r>
  <r>
    <s v="TX502214"/>
    <x v="9"/>
    <x v="5"/>
    <n v="50.5"/>
    <n v="555.5"/>
    <x v="80"/>
    <d v="2025-03-24T00:00:00"/>
    <x v="1"/>
    <x v="2"/>
    <x v="0"/>
    <x v="0"/>
    <x v="3"/>
    <x v="1"/>
    <x v="11"/>
    <x v="1"/>
  </r>
  <r>
    <s v="TX502215"/>
    <x v="15"/>
    <x v="0"/>
    <n v="36.299999999999997"/>
    <n v="36.299999999999997"/>
    <x v="80"/>
    <d v="2025-03-25T00:00:00"/>
    <x v="3"/>
    <x v="0"/>
    <x v="1"/>
    <x v="0"/>
    <x v="8"/>
    <x v="2"/>
    <x v="11"/>
    <x v="3"/>
  </r>
  <r>
    <s v="TX502216"/>
    <x v="8"/>
    <x v="1"/>
    <n v="35.4"/>
    <n v="70.8"/>
    <x v="80"/>
    <d v="2025-03-23T00:00:00"/>
    <x v="2"/>
    <x v="0"/>
    <x v="0"/>
    <x v="0"/>
    <x v="17"/>
    <x v="3"/>
    <x v="11"/>
    <x v="2"/>
  </r>
  <r>
    <s v="TX502217"/>
    <x v="1"/>
    <x v="2"/>
    <n v="45.9"/>
    <n v="137.69999999999999"/>
    <x v="81"/>
    <d v="2025-03-24T00:00:00"/>
    <x v="1"/>
    <x v="3"/>
    <x v="0"/>
    <x v="0"/>
    <x v="9"/>
    <x v="3"/>
    <x v="12"/>
    <x v="1"/>
  </r>
  <r>
    <s v="TX502218"/>
    <x v="6"/>
    <x v="7"/>
    <n v="41.2"/>
    <n v="412"/>
    <x v="81"/>
    <d v="2025-03-27T00:00:00"/>
    <x v="1"/>
    <x v="0"/>
    <x v="0"/>
    <x v="0"/>
    <x v="11"/>
    <x v="5"/>
    <x v="12"/>
    <x v="1"/>
  </r>
  <r>
    <s v="TX502219"/>
    <x v="17"/>
    <x v="1"/>
    <n v="45.1"/>
    <n v="90.2"/>
    <x v="81"/>
    <d v="2025-03-24T00:00:00"/>
    <x v="1"/>
    <x v="1"/>
    <x v="1"/>
    <x v="0"/>
    <x v="21"/>
    <x v="3"/>
    <x v="12"/>
    <x v="1"/>
  </r>
  <r>
    <s v="TX502220"/>
    <x v="6"/>
    <x v="7"/>
    <n v="63.6"/>
    <n v="636"/>
    <x v="81"/>
    <d v="2025-03-23T00:00:00"/>
    <x v="1"/>
    <x v="2"/>
    <x v="0"/>
    <x v="0"/>
    <x v="1"/>
    <x v="7"/>
    <x v="12"/>
    <x v="1"/>
  </r>
  <r>
    <s v="TX502221"/>
    <x v="8"/>
    <x v="0"/>
    <n v="70.5"/>
    <n v="70.5"/>
    <x v="81"/>
    <d v="2025-03-24T00:00:00"/>
    <x v="1"/>
    <x v="0"/>
    <x v="0"/>
    <x v="0"/>
    <x v="3"/>
    <x v="3"/>
    <x v="12"/>
    <x v="1"/>
  </r>
  <r>
    <s v="TX502222"/>
    <x v="6"/>
    <x v="0"/>
    <n v="41.3"/>
    <n v="41.3"/>
    <x v="81"/>
    <d v="2025-03-23T00:00:00"/>
    <x v="1"/>
    <x v="4"/>
    <x v="0"/>
    <x v="0"/>
    <x v="3"/>
    <x v="7"/>
    <x v="12"/>
    <x v="1"/>
  </r>
  <r>
    <s v="TX502223"/>
    <x v="4"/>
    <x v="0"/>
    <n v="35.299999999999997"/>
    <n v="35.299999999999997"/>
    <x v="81"/>
    <d v="2025-03-26T00:00:00"/>
    <x v="2"/>
    <x v="4"/>
    <x v="2"/>
    <x v="0"/>
    <x v="3"/>
    <x v="2"/>
    <x v="12"/>
    <x v="2"/>
  </r>
  <r>
    <s v="TX502224"/>
    <x v="8"/>
    <x v="9"/>
    <n v="34.700000000000003"/>
    <n v="173.5"/>
    <x v="81"/>
    <d v="2025-03-24T00:00:00"/>
    <x v="2"/>
    <x v="0"/>
    <x v="2"/>
    <x v="0"/>
    <x v="3"/>
    <x v="3"/>
    <x v="12"/>
    <x v="2"/>
  </r>
  <r>
    <s v="TX502225"/>
    <x v="8"/>
    <x v="2"/>
    <n v="26.1"/>
    <n v="78.300000000000011"/>
    <x v="81"/>
    <d v="2025-03-24T00:00:00"/>
    <x v="2"/>
    <x v="0"/>
    <x v="0"/>
    <x v="0"/>
    <x v="3"/>
    <x v="3"/>
    <x v="12"/>
    <x v="2"/>
  </r>
  <r>
    <s v="TX502226"/>
    <x v="9"/>
    <x v="9"/>
    <n v="22.6"/>
    <n v="113"/>
    <x v="81"/>
    <d v="2025-03-23T00:00:00"/>
    <x v="2"/>
    <x v="1"/>
    <x v="2"/>
    <x v="0"/>
    <x v="3"/>
    <x v="7"/>
    <x v="12"/>
    <x v="2"/>
  </r>
  <r>
    <s v="TX502227"/>
    <x v="2"/>
    <x v="1"/>
    <n v="154.4"/>
    <n v="308.8"/>
    <x v="81"/>
    <d v="2025-03-26T00:00:00"/>
    <x v="1"/>
    <x v="1"/>
    <x v="1"/>
    <x v="0"/>
    <x v="3"/>
    <x v="2"/>
    <x v="12"/>
    <x v="1"/>
  </r>
  <r>
    <s v="TX502228"/>
    <x v="8"/>
    <x v="1"/>
    <n v="18.399999999999999"/>
    <n v="36.799999999999997"/>
    <x v="81"/>
    <d v="2025-03-24T00:00:00"/>
    <x v="1"/>
    <x v="0"/>
    <x v="0"/>
    <x v="0"/>
    <x v="3"/>
    <x v="3"/>
    <x v="12"/>
    <x v="1"/>
  </r>
  <r>
    <s v="TX502229"/>
    <x v="14"/>
    <x v="0"/>
    <n v="25"/>
    <n v="25"/>
    <x v="81"/>
    <d v="2025-03-26T00:00:00"/>
    <x v="2"/>
    <x v="0"/>
    <x v="0"/>
    <x v="0"/>
    <x v="3"/>
    <x v="2"/>
    <x v="12"/>
    <x v="2"/>
  </r>
  <r>
    <s v="TX502230"/>
    <x v="2"/>
    <x v="13"/>
    <n v="105.6"/>
    <n v="633.59999999999991"/>
    <x v="81"/>
    <d v="2025-03-23T00:00:00"/>
    <x v="2"/>
    <x v="0"/>
    <x v="0"/>
    <x v="0"/>
    <x v="3"/>
    <x v="7"/>
    <x v="12"/>
    <x v="2"/>
  </r>
  <r>
    <s v="TX502231"/>
    <x v="18"/>
    <x v="8"/>
    <n v="59.6"/>
    <n v="476.8"/>
    <x v="81"/>
    <d v="2025-03-23T00:00:00"/>
    <x v="2"/>
    <x v="0"/>
    <x v="2"/>
    <x v="0"/>
    <x v="23"/>
    <x v="7"/>
    <x v="12"/>
    <x v="2"/>
  </r>
  <r>
    <s v="TX502232"/>
    <x v="15"/>
    <x v="2"/>
    <n v="75.400000000000006"/>
    <n v="226.20000000000002"/>
    <x v="81"/>
    <d v="2025-03-28T00:00:00"/>
    <x v="1"/>
    <x v="0"/>
    <x v="1"/>
    <x v="0"/>
    <x v="7"/>
    <x v="0"/>
    <x v="12"/>
    <x v="1"/>
  </r>
  <r>
    <s v="TX502233"/>
    <x v="7"/>
    <x v="0"/>
    <n v="104.4"/>
    <n v="104.4"/>
    <x v="81"/>
    <d v="2025-03-24T00:00:00"/>
    <x v="2"/>
    <x v="0"/>
    <x v="0"/>
    <x v="0"/>
    <x v="8"/>
    <x v="3"/>
    <x v="12"/>
    <x v="2"/>
  </r>
  <r>
    <s v="TX502234"/>
    <x v="2"/>
    <x v="7"/>
    <n v="208.2"/>
    <n v="2082"/>
    <x v="81"/>
    <d v="2025-03-24T00:00:00"/>
    <x v="1"/>
    <x v="0"/>
    <x v="2"/>
    <x v="0"/>
    <x v="8"/>
    <x v="3"/>
    <x v="12"/>
    <x v="1"/>
  </r>
  <r>
    <s v="TX502235"/>
    <x v="6"/>
    <x v="1"/>
    <n v="45"/>
    <n v="90"/>
    <x v="81"/>
    <d v="2025-03-26T00:00:00"/>
    <x v="2"/>
    <x v="0"/>
    <x v="0"/>
    <x v="0"/>
    <x v="10"/>
    <x v="2"/>
    <x v="12"/>
    <x v="2"/>
  </r>
  <r>
    <s v="TX502236"/>
    <x v="15"/>
    <x v="1"/>
    <n v="20.3"/>
    <n v="40.6"/>
    <x v="82"/>
    <d v="2025-03-26T00:00:00"/>
    <x v="0"/>
    <x v="1"/>
    <x v="0"/>
    <x v="0"/>
    <x v="11"/>
    <x v="1"/>
    <x v="12"/>
    <x v="0"/>
  </r>
  <r>
    <s v="TX502237"/>
    <x v="2"/>
    <x v="2"/>
    <n v="94.4"/>
    <n v="283.20000000000005"/>
    <x v="82"/>
    <d v="2025-03-25T00:00:00"/>
    <x v="2"/>
    <x v="0"/>
    <x v="2"/>
    <x v="0"/>
    <x v="11"/>
    <x v="3"/>
    <x v="12"/>
    <x v="2"/>
  </r>
  <r>
    <s v="TX502238"/>
    <x v="9"/>
    <x v="0"/>
    <n v="49"/>
    <n v="49"/>
    <x v="82"/>
    <d v="2025-03-26T00:00:00"/>
    <x v="2"/>
    <x v="0"/>
    <x v="2"/>
    <x v="0"/>
    <x v="20"/>
    <x v="1"/>
    <x v="12"/>
    <x v="2"/>
  </r>
  <r>
    <s v="TX502239"/>
    <x v="4"/>
    <x v="1"/>
    <n v="27.2"/>
    <n v="54.4"/>
    <x v="82"/>
    <d v="2025-03-26T00:00:00"/>
    <x v="1"/>
    <x v="0"/>
    <x v="2"/>
    <x v="0"/>
    <x v="1"/>
    <x v="1"/>
    <x v="12"/>
    <x v="1"/>
  </r>
  <r>
    <s v="TX502240"/>
    <x v="2"/>
    <x v="13"/>
    <n v="72.599999999999994"/>
    <n v="435.59999999999997"/>
    <x v="82"/>
    <d v="2025-03-25T00:00:00"/>
    <x v="2"/>
    <x v="0"/>
    <x v="2"/>
    <x v="0"/>
    <x v="2"/>
    <x v="3"/>
    <x v="12"/>
    <x v="2"/>
  </r>
  <r>
    <s v="TX502241"/>
    <x v="15"/>
    <x v="12"/>
    <n v="62.4"/>
    <n v="249.6"/>
    <x v="82"/>
    <d v="2025-03-25T00:00:00"/>
    <x v="2"/>
    <x v="0"/>
    <x v="0"/>
    <x v="0"/>
    <x v="3"/>
    <x v="3"/>
    <x v="12"/>
    <x v="2"/>
  </r>
  <r>
    <s v="TX502242"/>
    <x v="8"/>
    <x v="2"/>
    <n v="19.100000000000001"/>
    <n v="57.300000000000004"/>
    <x v="82"/>
    <d v="2025-03-26T00:00:00"/>
    <x v="1"/>
    <x v="0"/>
    <x v="1"/>
    <x v="0"/>
    <x v="3"/>
    <x v="1"/>
    <x v="12"/>
    <x v="1"/>
  </r>
  <r>
    <s v="TX502243"/>
    <x v="10"/>
    <x v="0"/>
    <n v="29.6"/>
    <n v="29.6"/>
    <x v="82"/>
    <d v="2025-03-28T00:00:00"/>
    <x v="1"/>
    <x v="0"/>
    <x v="4"/>
    <x v="0"/>
    <x v="3"/>
    <x v="5"/>
    <x v="12"/>
    <x v="1"/>
  </r>
  <r>
    <s v="TX502244"/>
    <x v="8"/>
    <x v="1"/>
    <n v="18.899999999999999"/>
    <n v="37.799999999999997"/>
    <x v="82"/>
    <d v="2025-03-26T00:00:00"/>
    <x v="2"/>
    <x v="4"/>
    <x v="2"/>
    <x v="0"/>
    <x v="3"/>
    <x v="1"/>
    <x v="12"/>
    <x v="2"/>
  </r>
  <r>
    <s v="TX502245"/>
    <x v="10"/>
    <x v="9"/>
    <n v="41.4"/>
    <n v="207"/>
    <x v="82"/>
    <d v="2025-03-25T00:00:00"/>
    <x v="1"/>
    <x v="3"/>
    <x v="0"/>
    <x v="0"/>
    <x v="3"/>
    <x v="3"/>
    <x v="12"/>
    <x v="1"/>
  </r>
  <r>
    <s v="TX502246"/>
    <x v="2"/>
    <x v="0"/>
    <n v="118.4"/>
    <n v="118.4"/>
    <x v="82"/>
    <d v="2025-03-25T00:00:00"/>
    <x v="2"/>
    <x v="0"/>
    <x v="2"/>
    <x v="0"/>
    <x v="3"/>
    <x v="3"/>
    <x v="12"/>
    <x v="2"/>
  </r>
  <r>
    <s v="TX502247"/>
    <x v="2"/>
    <x v="1"/>
    <n v="125.3"/>
    <n v="250.6"/>
    <x v="82"/>
    <d v="2025-03-27T00:00:00"/>
    <x v="2"/>
    <x v="0"/>
    <x v="2"/>
    <x v="0"/>
    <x v="3"/>
    <x v="2"/>
    <x v="12"/>
    <x v="2"/>
  </r>
  <r>
    <s v="TX502248"/>
    <x v="3"/>
    <x v="1"/>
    <n v="85.8"/>
    <n v="171.6"/>
    <x v="82"/>
    <d v="2025-03-25T00:00:00"/>
    <x v="2"/>
    <x v="1"/>
    <x v="4"/>
    <x v="0"/>
    <x v="3"/>
    <x v="3"/>
    <x v="12"/>
    <x v="2"/>
  </r>
  <r>
    <s v="TX502249"/>
    <x v="6"/>
    <x v="0"/>
    <n v="44.2"/>
    <n v="44.2"/>
    <x v="82"/>
    <d v="2025-03-27T00:00:00"/>
    <x v="1"/>
    <x v="1"/>
    <x v="0"/>
    <x v="0"/>
    <x v="3"/>
    <x v="2"/>
    <x v="12"/>
    <x v="1"/>
  </r>
  <r>
    <s v="TX502250"/>
    <x v="5"/>
    <x v="12"/>
    <n v="74.099999999999994"/>
    <n v="296.39999999999998"/>
    <x v="82"/>
    <d v="2025-03-26T00:00:00"/>
    <x v="2"/>
    <x v="0"/>
    <x v="0"/>
    <x v="0"/>
    <x v="3"/>
    <x v="1"/>
    <x v="12"/>
    <x v="2"/>
  </r>
  <r>
    <s v="TX502251"/>
    <x v="8"/>
    <x v="0"/>
    <n v="33.799999999999997"/>
    <n v="33.799999999999997"/>
    <x v="82"/>
    <d v="2025-03-25T00:00:00"/>
    <x v="2"/>
    <x v="2"/>
    <x v="2"/>
    <x v="0"/>
    <x v="24"/>
    <x v="3"/>
    <x v="12"/>
    <x v="2"/>
  </r>
  <r>
    <s v="TX502252"/>
    <x v="1"/>
    <x v="1"/>
    <n v="39.1"/>
    <n v="78.2"/>
    <x v="82"/>
    <d v="2025-03-25T00:00:00"/>
    <x v="1"/>
    <x v="0"/>
    <x v="1"/>
    <x v="0"/>
    <x v="24"/>
    <x v="3"/>
    <x v="12"/>
    <x v="1"/>
  </r>
  <r>
    <s v="TX502253"/>
    <x v="0"/>
    <x v="0"/>
    <n v="37.200000000000003"/>
    <n v="37.200000000000003"/>
    <x v="82"/>
    <d v="2025-03-25T00:00:00"/>
    <x v="1"/>
    <x v="0"/>
    <x v="1"/>
    <x v="0"/>
    <x v="16"/>
    <x v="3"/>
    <x v="12"/>
    <x v="1"/>
  </r>
  <r>
    <s v="TX502254"/>
    <x v="15"/>
    <x v="2"/>
    <n v="33.9"/>
    <n v="101.69999999999999"/>
    <x v="82"/>
    <d v="2025-03-26T00:00:00"/>
    <x v="1"/>
    <x v="2"/>
    <x v="0"/>
    <x v="0"/>
    <x v="6"/>
    <x v="1"/>
    <x v="12"/>
    <x v="1"/>
  </r>
  <r>
    <s v="TX502255"/>
    <x v="7"/>
    <x v="20"/>
    <n v="73.3"/>
    <n v="1099.5"/>
    <x v="82"/>
    <d v="2025-03-27T00:00:00"/>
    <x v="2"/>
    <x v="2"/>
    <x v="1"/>
    <x v="0"/>
    <x v="8"/>
    <x v="2"/>
    <x v="12"/>
    <x v="2"/>
  </r>
  <r>
    <s v="TX502256"/>
    <x v="8"/>
    <x v="12"/>
    <n v="35"/>
    <n v="140"/>
    <x v="82"/>
    <d v="2025-03-26T00:00:00"/>
    <x v="2"/>
    <x v="1"/>
    <x v="0"/>
    <x v="0"/>
    <x v="8"/>
    <x v="1"/>
    <x v="12"/>
    <x v="2"/>
  </r>
  <r>
    <s v="TX502257"/>
    <x v="0"/>
    <x v="2"/>
    <n v="22.2"/>
    <n v="66.599999999999994"/>
    <x v="82"/>
    <d v="2025-03-25T00:00:00"/>
    <x v="1"/>
    <x v="1"/>
    <x v="0"/>
    <x v="0"/>
    <x v="17"/>
    <x v="3"/>
    <x v="12"/>
    <x v="1"/>
  </r>
  <r>
    <s v="TX502258"/>
    <x v="10"/>
    <x v="0"/>
    <n v="32.4"/>
    <n v="32.4"/>
    <x v="82"/>
    <d v="2025-03-25T00:00:00"/>
    <x v="2"/>
    <x v="0"/>
    <x v="0"/>
    <x v="0"/>
    <x v="11"/>
    <x v="3"/>
    <x v="12"/>
    <x v="2"/>
  </r>
  <r>
    <s v="TX502259"/>
    <x v="5"/>
    <x v="2"/>
    <n v="88.4"/>
    <n v="265.20000000000005"/>
    <x v="83"/>
    <d v="2025-03-27T00:00:00"/>
    <x v="2"/>
    <x v="1"/>
    <x v="1"/>
    <x v="0"/>
    <x v="11"/>
    <x v="1"/>
    <x v="12"/>
    <x v="2"/>
  </r>
  <r>
    <s v="TX502260"/>
    <x v="5"/>
    <x v="27"/>
    <n v="30.5"/>
    <n v="488"/>
    <x v="83"/>
    <d v="2025-03-26T00:00:00"/>
    <x v="2"/>
    <x v="2"/>
    <x v="0"/>
    <x v="0"/>
    <x v="11"/>
    <x v="3"/>
    <x v="12"/>
    <x v="2"/>
  </r>
  <r>
    <s v="TX502261"/>
    <x v="1"/>
    <x v="13"/>
    <n v="38.1"/>
    <n v="228.60000000000002"/>
    <x v="83"/>
    <d v="2025-03-27T00:00:00"/>
    <x v="2"/>
    <x v="0"/>
    <x v="1"/>
    <x v="0"/>
    <x v="11"/>
    <x v="1"/>
    <x v="12"/>
    <x v="2"/>
  </r>
  <r>
    <s v="TX502262"/>
    <x v="10"/>
    <x v="9"/>
    <n v="37.6"/>
    <n v="188"/>
    <x v="83"/>
    <d v="2025-03-29T00:00:00"/>
    <x v="1"/>
    <x v="0"/>
    <x v="0"/>
    <x v="0"/>
    <x v="11"/>
    <x v="5"/>
    <x v="12"/>
    <x v="1"/>
  </r>
  <r>
    <s v="TX502263"/>
    <x v="15"/>
    <x v="1"/>
    <n v="31.4"/>
    <n v="62.8"/>
    <x v="83"/>
    <d v="2025-03-26T00:00:00"/>
    <x v="1"/>
    <x v="0"/>
    <x v="2"/>
    <x v="0"/>
    <x v="11"/>
    <x v="3"/>
    <x v="12"/>
    <x v="1"/>
  </r>
  <r>
    <s v="TX502264"/>
    <x v="6"/>
    <x v="1"/>
    <n v="61.5"/>
    <n v="123"/>
    <x v="83"/>
    <d v="2025-03-26T00:00:00"/>
    <x v="1"/>
    <x v="3"/>
    <x v="0"/>
    <x v="0"/>
    <x v="31"/>
    <x v="3"/>
    <x v="12"/>
    <x v="1"/>
  </r>
  <r>
    <s v="TX502265"/>
    <x v="6"/>
    <x v="0"/>
    <n v="72.599999999999994"/>
    <n v="72.599999999999994"/>
    <x v="83"/>
    <d v="2025-03-26T00:00:00"/>
    <x v="1"/>
    <x v="0"/>
    <x v="1"/>
    <x v="0"/>
    <x v="21"/>
    <x v="3"/>
    <x v="12"/>
    <x v="1"/>
  </r>
  <r>
    <s v="TX502266"/>
    <x v="9"/>
    <x v="2"/>
    <n v="26.9"/>
    <n v="80.699999999999989"/>
    <x v="83"/>
    <d v="2025-03-30T00:00:00"/>
    <x v="3"/>
    <x v="4"/>
    <x v="1"/>
    <x v="0"/>
    <x v="46"/>
    <x v="0"/>
    <x v="12"/>
    <x v="3"/>
  </r>
  <r>
    <s v="TX502267"/>
    <x v="17"/>
    <x v="4"/>
    <n v="29.4"/>
    <n v="352.79999999999995"/>
    <x v="83"/>
    <d v="2025-03-26T00:00:00"/>
    <x v="2"/>
    <x v="1"/>
    <x v="0"/>
    <x v="0"/>
    <x v="51"/>
    <x v="3"/>
    <x v="12"/>
    <x v="2"/>
  </r>
  <r>
    <s v="TX502268"/>
    <x v="17"/>
    <x v="1"/>
    <n v="42.1"/>
    <n v="84.2"/>
    <x v="83"/>
    <d v="2025-03-26T00:00:00"/>
    <x v="2"/>
    <x v="3"/>
    <x v="1"/>
    <x v="0"/>
    <x v="1"/>
    <x v="3"/>
    <x v="12"/>
    <x v="2"/>
  </r>
  <r>
    <s v="TX502269"/>
    <x v="5"/>
    <x v="0"/>
    <n v="40.5"/>
    <n v="40.5"/>
    <x v="83"/>
    <d v="2025-03-26T00:00:00"/>
    <x v="2"/>
    <x v="2"/>
    <x v="1"/>
    <x v="0"/>
    <x v="1"/>
    <x v="3"/>
    <x v="12"/>
    <x v="2"/>
  </r>
  <r>
    <s v="TX502270"/>
    <x v="2"/>
    <x v="12"/>
    <n v="182.3"/>
    <n v="729.2"/>
    <x v="83"/>
    <d v="2025-03-26T00:00:00"/>
    <x v="2"/>
    <x v="1"/>
    <x v="0"/>
    <x v="0"/>
    <x v="1"/>
    <x v="3"/>
    <x v="12"/>
    <x v="2"/>
  </r>
  <r>
    <s v="TX502271"/>
    <x v="2"/>
    <x v="9"/>
    <n v="157"/>
    <n v="785"/>
    <x v="83"/>
    <d v="2025-03-28T00:00:00"/>
    <x v="2"/>
    <x v="1"/>
    <x v="2"/>
    <x v="0"/>
    <x v="2"/>
    <x v="2"/>
    <x v="12"/>
    <x v="2"/>
  </r>
  <r>
    <s v="TX502272"/>
    <x v="17"/>
    <x v="9"/>
    <n v="45.2"/>
    <n v="226"/>
    <x v="83"/>
    <d v="2025-03-28T00:00:00"/>
    <x v="2"/>
    <x v="1"/>
    <x v="0"/>
    <x v="0"/>
    <x v="22"/>
    <x v="2"/>
    <x v="12"/>
    <x v="2"/>
  </r>
  <r>
    <s v="TX502273"/>
    <x v="15"/>
    <x v="12"/>
    <n v="27.4"/>
    <n v="109.6"/>
    <x v="83"/>
    <d v="2025-03-27T00:00:00"/>
    <x v="2"/>
    <x v="0"/>
    <x v="0"/>
    <x v="0"/>
    <x v="3"/>
    <x v="1"/>
    <x v="12"/>
    <x v="2"/>
  </r>
  <r>
    <s v="TX502274"/>
    <x v="5"/>
    <x v="9"/>
    <n v="34.1"/>
    <n v="170.5"/>
    <x v="83"/>
    <d v="2025-03-27T00:00:00"/>
    <x v="1"/>
    <x v="0"/>
    <x v="2"/>
    <x v="0"/>
    <x v="3"/>
    <x v="1"/>
    <x v="12"/>
    <x v="1"/>
  </r>
  <r>
    <s v="TX502275"/>
    <x v="0"/>
    <x v="1"/>
    <n v="26"/>
    <n v="52"/>
    <x v="83"/>
    <d v="2025-03-27T00:00:00"/>
    <x v="1"/>
    <x v="2"/>
    <x v="1"/>
    <x v="0"/>
    <x v="3"/>
    <x v="1"/>
    <x v="12"/>
    <x v="1"/>
  </r>
  <r>
    <s v="TX502276"/>
    <x v="8"/>
    <x v="3"/>
    <n v="19.399999999999999"/>
    <n v="135.79999999999998"/>
    <x v="83"/>
    <d v="2025-03-27T00:00:00"/>
    <x v="0"/>
    <x v="1"/>
    <x v="1"/>
    <x v="0"/>
    <x v="3"/>
    <x v="1"/>
    <x v="12"/>
    <x v="0"/>
  </r>
  <r>
    <s v="TX502277"/>
    <x v="16"/>
    <x v="2"/>
    <n v="30.3"/>
    <n v="90.9"/>
    <x v="83"/>
    <d v="2025-03-28T00:00:00"/>
    <x v="2"/>
    <x v="1"/>
    <x v="2"/>
    <x v="0"/>
    <x v="3"/>
    <x v="2"/>
    <x v="12"/>
    <x v="2"/>
  </r>
  <r>
    <s v="TX502278"/>
    <x v="2"/>
    <x v="2"/>
    <n v="101.4"/>
    <n v="304.20000000000005"/>
    <x v="83"/>
    <d v="2025-03-26T00:00:00"/>
    <x v="1"/>
    <x v="0"/>
    <x v="0"/>
    <x v="0"/>
    <x v="3"/>
    <x v="3"/>
    <x v="12"/>
    <x v="1"/>
  </r>
  <r>
    <s v="TX502279"/>
    <x v="3"/>
    <x v="9"/>
    <n v="55.5"/>
    <n v="277.5"/>
    <x v="83"/>
    <d v="2025-03-28T00:00:00"/>
    <x v="1"/>
    <x v="1"/>
    <x v="0"/>
    <x v="0"/>
    <x v="24"/>
    <x v="2"/>
    <x v="12"/>
    <x v="1"/>
  </r>
  <r>
    <s v="TX502280"/>
    <x v="8"/>
    <x v="0"/>
    <n v="23.1"/>
    <n v="23.1"/>
    <x v="83"/>
    <d v="2025-03-26T00:00:00"/>
    <x v="1"/>
    <x v="0"/>
    <x v="0"/>
    <x v="0"/>
    <x v="25"/>
    <x v="3"/>
    <x v="12"/>
    <x v="1"/>
  </r>
  <r>
    <s v="TX502281"/>
    <x v="18"/>
    <x v="1"/>
    <n v="38.9"/>
    <n v="77.8"/>
    <x v="83"/>
    <d v="2025-03-26T00:00:00"/>
    <x v="1"/>
    <x v="2"/>
    <x v="0"/>
    <x v="0"/>
    <x v="25"/>
    <x v="3"/>
    <x v="12"/>
    <x v="1"/>
  </r>
  <r>
    <s v="TX502282"/>
    <x v="6"/>
    <x v="11"/>
    <n v="116.3"/>
    <n v="1046.7"/>
    <x v="83"/>
    <d v="2025-03-29T00:00:00"/>
    <x v="2"/>
    <x v="0"/>
    <x v="0"/>
    <x v="0"/>
    <x v="5"/>
    <x v="5"/>
    <x v="12"/>
    <x v="2"/>
  </r>
  <r>
    <s v="TX502283"/>
    <x v="16"/>
    <x v="11"/>
    <n v="64.099999999999994"/>
    <n v="576.9"/>
    <x v="83"/>
    <d v="2025-03-25T00:00:00"/>
    <x v="2"/>
    <x v="0"/>
    <x v="2"/>
    <x v="0"/>
    <x v="6"/>
    <x v="7"/>
    <x v="12"/>
    <x v="2"/>
  </r>
  <r>
    <s v="TX502284"/>
    <x v="2"/>
    <x v="13"/>
    <n v="109.2"/>
    <n v="655.20000000000005"/>
    <x v="83"/>
    <d v="2025-03-27T00:00:00"/>
    <x v="1"/>
    <x v="0"/>
    <x v="1"/>
    <x v="0"/>
    <x v="8"/>
    <x v="1"/>
    <x v="12"/>
    <x v="1"/>
  </r>
  <r>
    <s v="TX502285"/>
    <x v="10"/>
    <x v="9"/>
    <n v="23.2"/>
    <n v="116"/>
    <x v="84"/>
    <d v="2025-03-27T00:00:00"/>
    <x v="1"/>
    <x v="0"/>
    <x v="1"/>
    <x v="0"/>
    <x v="8"/>
    <x v="3"/>
    <x v="12"/>
    <x v="1"/>
  </r>
  <r>
    <s v="TX502286"/>
    <x v="18"/>
    <x v="13"/>
    <n v="81.2"/>
    <n v="487.20000000000005"/>
    <x v="84"/>
    <d v="2025-03-28T00:00:00"/>
    <x v="1"/>
    <x v="2"/>
    <x v="2"/>
    <x v="0"/>
    <x v="8"/>
    <x v="1"/>
    <x v="12"/>
    <x v="1"/>
  </r>
  <r>
    <s v="TX502287"/>
    <x v="1"/>
    <x v="21"/>
    <n v="35.700000000000003"/>
    <n v="499.80000000000007"/>
    <x v="84"/>
    <d v="2025-03-27T00:00:00"/>
    <x v="1"/>
    <x v="3"/>
    <x v="0"/>
    <x v="0"/>
    <x v="8"/>
    <x v="3"/>
    <x v="12"/>
    <x v="1"/>
  </r>
  <r>
    <s v="TX502288"/>
    <x v="7"/>
    <x v="1"/>
    <n v="44.5"/>
    <n v="89"/>
    <x v="84"/>
    <d v="2025-03-29T00:00:00"/>
    <x v="1"/>
    <x v="4"/>
    <x v="0"/>
    <x v="0"/>
    <x v="9"/>
    <x v="2"/>
    <x v="12"/>
    <x v="1"/>
  </r>
  <r>
    <s v="TX502289"/>
    <x v="1"/>
    <x v="9"/>
    <n v="32"/>
    <n v="160"/>
    <x v="84"/>
    <d v="2025-03-28T00:00:00"/>
    <x v="3"/>
    <x v="1"/>
    <x v="1"/>
    <x v="0"/>
    <x v="9"/>
    <x v="1"/>
    <x v="12"/>
    <x v="3"/>
  </r>
  <r>
    <s v="TX502290"/>
    <x v="8"/>
    <x v="0"/>
    <n v="25.7"/>
    <n v="25.7"/>
    <x v="84"/>
    <d v="2025-03-27T00:00:00"/>
    <x v="1"/>
    <x v="0"/>
    <x v="0"/>
    <x v="0"/>
    <x v="10"/>
    <x v="3"/>
    <x v="12"/>
    <x v="1"/>
  </r>
  <r>
    <s v="TX502291"/>
    <x v="16"/>
    <x v="2"/>
    <n v="65.599999999999994"/>
    <n v="196.79999999999998"/>
    <x v="84"/>
    <d v="2025-04-01T00:00:00"/>
    <x v="1"/>
    <x v="0"/>
    <x v="0"/>
    <x v="0"/>
    <x v="11"/>
    <x v="4"/>
    <x v="12"/>
    <x v="1"/>
  </r>
  <r>
    <s v="TX502292"/>
    <x v="1"/>
    <x v="12"/>
    <n v="52.1"/>
    <n v="208.4"/>
    <x v="84"/>
    <d v="2025-03-27T00:00:00"/>
    <x v="2"/>
    <x v="0"/>
    <x v="2"/>
    <x v="0"/>
    <x v="11"/>
    <x v="3"/>
    <x v="12"/>
    <x v="2"/>
  </r>
  <r>
    <s v="TX502293"/>
    <x v="8"/>
    <x v="0"/>
    <n v="31"/>
    <n v="31"/>
    <x v="84"/>
    <d v="2025-03-27T00:00:00"/>
    <x v="1"/>
    <x v="0"/>
    <x v="1"/>
    <x v="0"/>
    <x v="19"/>
    <x v="3"/>
    <x v="12"/>
    <x v="1"/>
  </r>
  <r>
    <s v="TX502294"/>
    <x v="8"/>
    <x v="0"/>
    <n v="32"/>
    <n v="32"/>
    <x v="84"/>
    <d v="2025-03-28T00:00:00"/>
    <x v="3"/>
    <x v="3"/>
    <x v="1"/>
    <x v="0"/>
    <x v="31"/>
    <x v="1"/>
    <x v="12"/>
    <x v="3"/>
  </r>
  <r>
    <s v="TX502295"/>
    <x v="16"/>
    <x v="12"/>
    <n v="58.3"/>
    <n v="233.2"/>
    <x v="84"/>
    <d v="2025-03-30T00:00:00"/>
    <x v="1"/>
    <x v="1"/>
    <x v="4"/>
    <x v="0"/>
    <x v="20"/>
    <x v="5"/>
    <x v="12"/>
    <x v="1"/>
  </r>
  <r>
    <s v="TX502296"/>
    <x v="8"/>
    <x v="2"/>
    <n v="31"/>
    <n v="93"/>
    <x v="84"/>
    <d v="2025-03-28T00:00:00"/>
    <x v="2"/>
    <x v="2"/>
    <x v="4"/>
    <x v="0"/>
    <x v="13"/>
    <x v="1"/>
    <x v="12"/>
    <x v="2"/>
  </r>
  <r>
    <s v="TX502297"/>
    <x v="3"/>
    <x v="0"/>
    <n v="40.299999999999997"/>
    <n v="40.299999999999997"/>
    <x v="84"/>
    <d v="2025-03-27T00:00:00"/>
    <x v="1"/>
    <x v="1"/>
    <x v="2"/>
    <x v="0"/>
    <x v="54"/>
    <x v="3"/>
    <x v="12"/>
    <x v="1"/>
  </r>
  <r>
    <s v="TX502298"/>
    <x v="6"/>
    <x v="2"/>
    <n v="47.3"/>
    <n v="141.89999999999998"/>
    <x v="84"/>
    <d v="2025-03-28T00:00:00"/>
    <x v="1"/>
    <x v="4"/>
    <x v="2"/>
    <x v="0"/>
    <x v="2"/>
    <x v="1"/>
    <x v="12"/>
    <x v="1"/>
  </r>
  <r>
    <s v="TX502299"/>
    <x v="2"/>
    <x v="0"/>
    <n v="82.8"/>
    <n v="82.8"/>
    <x v="84"/>
    <d v="2025-03-27T00:00:00"/>
    <x v="1"/>
    <x v="0"/>
    <x v="0"/>
    <x v="0"/>
    <x v="2"/>
    <x v="3"/>
    <x v="12"/>
    <x v="1"/>
  </r>
  <r>
    <s v="TX502300"/>
    <x v="8"/>
    <x v="0"/>
    <n v="18.5"/>
    <n v="18.5"/>
    <x v="84"/>
    <d v="2025-04-09T00:00:00"/>
    <x v="2"/>
    <x v="0"/>
    <x v="0"/>
    <x v="0"/>
    <x v="44"/>
    <x v="12"/>
    <x v="12"/>
    <x v="2"/>
  </r>
  <r>
    <s v="TX502301"/>
    <x v="3"/>
    <x v="1"/>
    <n v="60.4"/>
    <n v="120.8"/>
    <x v="84"/>
    <d v="2025-03-27T00:00:00"/>
    <x v="1"/>
    <x v="2"/>
    <x v="0"/>
    <x v="0"/>
    <x v="22"/>
    <x v="3"/>
    <x v="12"/>
    <x v="1"/>
  </r>
  <r>
    <s v="TX502302"/>
    <x v="6"/>
    <x v="9"/>
    <n v="80.2"/>
    <n v="401"/>
    <x v="84"/>
    <d v="2025-04-02T00:00:00"/>
    <x v="1"/>
    <x v="1"/>
    <x v="1"/>
    <x v="0"/>
    <x v="50"/>
    <x v="6"/>
    <x v="12"/>
    <x v="1"/>
  </r>
  <r>
    <s v="TX502303"/>
    <x v="4"/>
    <x v="0"/>
    <n v="41.5"/>
    <n v="41.5"/>
    <x v="84"/>
    <d v="2025-03-28T00:00:00"/>
    <x v="1"/>
    <x v="2"/>
    <x v="0"/>
    <x v="0"/>
    <x v="3"/>
    <x v="1"/>
    <x v="12"/>
    <x v="1"/>
  </r>
  <r>
    <s v="TX502304"/>
    <x v="2"/>
    <x v="1"/>
    <n v="83.9"/>
    <n v="167.8"/>
    <x v="84"/>
    <d v="2025-03-29T00:00:00"/>
    <x v="2"/>
    <x v="0"/>
    <x v="0"/>
    <x v="0"/>
    <x v="3"/>
    <x v="2"/>
    <x v="12"/>
    <x v="2"/>
  </r>
  <r>
    <s v="TX502305"/>
    <x v="8"/>
    <x v="1"/>
    <n v="16.7"/>
    <n v="33.4"/>
    <x v="84"/>
    <d v="2025-03-30T00:00:00"/>
    <x v="2"/>
    <x v="0"/>
    <x v="1"/>
    <x v="0"/>
    <x v="3"/>
    <x v="5"/>
    <x v="12"/>
    <x v="2"/>
  </r>
  <r>
    <s v="TX502306"/>
    <x v="9"/>
    <x v="1"/>
    <n v="72.900000000000006"/>
    <n v="145.80000000000001"/>
    <x v="84"/>
    <d v="2025-03-27T00:00:00"/>
    <x v="1"/>
    <x v="2"/>
    <x v="1"/>
    <x v="0"/>
    <x v="3"/>
    <x v="3"/>
    <x v="12"/>
    <x v="1"/>
  </r>
  <r>
    <s v="TX502307"/>
    <x v="5"/>
    <x v="1"/>
    <n v="50.2"/>
    <n v="100.4"/>
    <x v="84"/>
    <d v="2025-03-28T00:00:00"/>
    <x v="2"/>
    <x v="1"/>
    <x v="2"/>
    <x v="0"/>
    <x v="3"/>
    <x v="1"/>
    <x v="12"/>
    <x v="2"/>
  </r>
  <r>
    <s v="TX502308"/>
    <x v="3"/>
    <x v="1"/>
    <n v="34.200000000000003"/>
    <n v="68.400000000000006"/>
    <x v="84"/>
    <d v="2025-04-05T00:00:00"/>
    <x v="0"/>
    <x v="1"/>
    <x v="0"/>
    <x v="0"/>
    <x v="3"/>
    <x v="14"/>
    <x v="12"/>
    <x v="0"/>
  </r>
  <r>
    <s v="TX502309"/>
    <x v="5"/>
    <x v="1"/>
    <n v="107.9"/>
    <n v="215.8"/>
    <x v="84"/>
    <d v="2025-03-26T00:00:00"/>
    <x v="1"/>
    <x v="1"/>
    <x v="4"/>
    <x v="0"/>
    <x v="3"/>
    <x v="7"/>
    <x v="12"/>
    <x v="1"/>
  </r>
  <r>
    <s v="TX502310"/>
    <x v="0"/>
    <x v="2"/>
    <n v="17.5"/>
    <n v="52.5"/>
    <x v="84"/>
    <d v="2025-03-28T00:00:00"/>
    <x v="1"/>
    <x v="4"/>
    <x v="0"/>
    <x v="0"/>
    <x v="3"/>
    <x v="1"/>
    <x v="12"/>
    <x v="1"/>
  </r>
  <r>
    <s v="TX502311"/>
    <x v="13"/>
    <x v="20"/>
    <n v="44.7"/>
    <n v="670.5"/>
    <x v="84"/>
    <d v="2025-03-27T00:00:00"/>
    <x v="1"/>
    <x v="0"/>
    <x v="1"/>
    <x v="0"/>
    <x v="3"/>
    <x v="3"/>
    <x v="12"/>
    <x v="1"/>
  </r>
  <r>
    <s v="TX502312"/>
    <x v="12"/>
    <x v="13"/>
    <n v="92.7"/>
    <n v="556.20000000000005"/>
    <x v="84"/>
    <d v="2025-03-28T00:00:00"/>
    <x v="2"/>
    <x v="2"/>
    <x v="1"/>
    <x v="0"/>
    <x v="3"/>
    <x v="1"/>
    <x v="12"/>
    <x v="2"/>
  </r>
  <r>
    <s v="TX502313"/>
    <x v="7"/>
    <x v="2"/>
    <n v="48.8"/>
    <n v="146.39999999999998"/>
    <x v="84"/>
    <d v="2025-03-28T00:00:00"/>
    <x v="2"/>
    <x v="2"/>
    <x v="0"/>
    <x v="0"/>
    <x v="3"/>
    <x v="1"/>
    <x v="12"/>
    <x v="2"/>
  </r>
  <r>
    <s v="TX502314"/>
    <x v="4"/>
    <x v="27"/>
    <n v="21.3"/>
    <n v="340.8"/>
    <x v="84"/>
    <d v="2025-03-30T00:00:00"/>
    <x v="2"/>
    <x v="3"/>
    <x v="3"/>
    <x v="0"/>
    <x v="3"/>
    <x v="5"/>
    <x v="12"/>
    <x v="2"/>
  </r>
  <r>
    <s v="TX502315"/>
    <x v="16"/>
    <x v="0"/>
    <n v="52.5"/>
    <n v="52.5"/>
    <x v="84"/>
    <d v="2025-03-27T00:00:00"/>
    <x v="2"/>
    <x v="0"/>
    <x v="0"/>
    <x v="0"/>
    <x v="3"/>
    <x v="3"/>
    <x v="12"/>
    <x v="2"/>
  </r>
  <r>
    <s v="TX502316"/>
    <x v="1"/>
    <x v="1"/>
    <n v="92.4"/>
    <n v="184.8"/>
    <x v="84"/>
    <d v="2025-04-01T00:00:00"/>
    <x v="2"/>
    <x v="0"/>
    <x v="2"/>
    <x v="0"/>
    <x v="3"/>
    <x v="4"/>
    <x v="12"/>
    <x v="2"/>
  </r>
  <r>
    <s v="TX502317"/>
    <x v="4"/>
    <x v="5"/>
    <n v="58.3"/>
    <n v="641.29999999999995"/>
    <x v="84"/>
    <d v="2025-03-28T00:00:00"/>
    <x v="1"/>
    <x v="1"/>
    <x v="2"/>
    <x v="0"/>
    <x v="3"/>
    <x v="1"/>
    <x v="12"/>
    <x v="1"/>
  </r>
  <r>
    <s v="TX502318"/>
    <x v="6"/>
    <x v="44"/>
    <n v="152.6"/>
    <n v="3509.7999999999997"/>
    <x v="85"/>
    <d v="2025-03-29T00:00:00"/>
    <x v="0"/>
    <x v="0"/>
    <x v="0"/>
    <x v="0"/>
    <x v="3"/>
    <x v="1"/>
    <x v="12"/>
    <x v="0"/>
  </r>
  <r>
    <s v="TX502319"/>
    <x v="8"/>
    <x v="1"/>
    <n v="26"/>
    <n v="52"/>
    <x v="85"/>
    <d v="2025-03-27T00:00:00"/>
    <x v="0"/>
    <x v="0"/>
    <x v="1"/>
    <x v="0"/>
    <x v="3"/>
    <x v="7"/>
    <x v="12"/>
    <x v="0"/>
  </r>
  <r>
    <s v="TX502320"/>
    <x v="1"/>
    <x v="12"/>
    <n v="33.1"/>
    <n v="132.4"/>
    <x v="85"/>
    <d v="2025-03-27T00:00:00"/>
    <x v="1"/>
    <x v="2"/>
    <x v="4"/>
    <x v="0"/>
    <x v="5"/>
    <x v="7"/>
    <x v="12"/>
    <x v="1"/>
  </r>
  <r>
    <s v="TX502321"/>
    <x v="18"/>
    <x v="0"/>
    <n v="51.4"/>
    <n v="51.4"/>
    <x v="85"/>
    <d v="2025-03-29T00:00:00"/>
    <x v="2"/>
    <x v="1"/>
    <x v="1"/>
    <x v="0"/>
    <x v="5"/>
    <x v="1"/>
    <x v="12"/>
    <x v="2"/>
  </r>
  <r>
    <s v="TX502322"/>
    <x v="8"/>
    <x v="1"/>
    <n v="30.2"/>
    <n v="60.4"/>
    <x v="85"/>
    <d v="2025-03-28T00:00:00"/>
    <x v="2"/>
    <x v="2"/>
    <x v="2"/>
    <x v="0"/>
    <x v="6"/>
    <x v="3"/>
    <x v="12"/>
    <x v="2"/>
  </r>
  <r>
    <s v="TX502323"/>
    <x v="2"/>
    <x v="13"/>
    <n v="97"/>
    <n v="582"/>
    <x v="85"/>
    <d v="2025-03-31T00:00:00"/>
    <x v="2"/>
    <x v="0"/>
    <x v="2"/>
    <x v="0"/>
    <x v="7"/>
    <x v="5"/>
    <x v="12"/>
    <x v="2"/>
  </r>
  <r>
    <s v="TX502324"/>
    <x v="2"/>
    <x v="0"/>
    <n v="76.900000000000006"/>
    <n v="76.900000000000006"/>
    <x v="85"/>
    <d v="2025-03-28T00:00:00"/>
    <x v="1"/>
    <x v="1"/>
    <x v="2"/>
    <x v="0"/>
    <x v="8"/>
    <x v="3"/>
    <x v="12"/>
    <x v="1"/>
  </r>
  <r>
    <s v="TX502325"/>
    <x v="7"/>
    <x v="13"/>
    <n v="36.1"/>
    <n v="216.60000000000002"/>
    <x v="85"/>
    <d v="2025-03-31T00:00:00"/>
    <x v="2"/>
    <x v="0"/>
    <x v="0"/>
    <x v="0"/>
    <x v="8"/>
    <x v="5"/>
    <x v="12"/>
    <x v="2"/>
  </r>
  <r>
    <s v="TX502326"/>
    <x v="1"/>
    <x v="3"/>
    <n v="34.4"/>
    <n v="240.79999999999998"/>
    <x v="85"/>
    <d v="2025-03-27T00:00:00"/>
    <x v="2"/>
    <x v="2"/>
    <x v="1"/>
    <x v="0"/>
    <x v="11"/>
    <x v="7"/>
    <x v="12"/>
    <x v="2"/>
  </r>
  <r>
    <s v="TX502327"/>
    <x v="1"/>
    <x v="31"/>
    <n v="53.4"/>
    <n v="1495.2"/>
    <x v="85"/>
    <d v="2025-03-29T00:00:00"/>
    <x v="2"/>
    <x v="1"/>
    <x v="0"/>
    <x v="0"/>
    <x v="18"/>
    <x v="1"/>
    <x v="12"/>
    <x v="2"/>
  </r>
  <r>
    <s v="TX502328"/>
    <x v="2"/>
    <x v="0"/>
    <n v="77.599999999999994"/>
    <n v="77.599999999999994"/>
    <x v="85"/>
    <d v="2025-03-28T00:00:00"/>
    <x v="2"/>
    <x v="0"/>
    <x v="1"/>
    <x v="0"/>
    <x v="19"/>
    <x v="3"/>
    <x v="12"/>
    <x v="2"/>
  </r>
  <r>
    <s v="TX502329"/>
    <x v="1"/>
    <x v="2"/>
    <n v="71.7"/>
    <n v="215.10000000000002"/>
    <x v="85"/>
    <d v="2025-03-30T00:00:00"/>
    <x v="2"/>
    <x v="1"/>
    <x v="0"/>
    <x v="0"/>
    <x v="19"/>
    <x v="2"/>
    <x v="12"/>
    <x v="2"/>
  </r>
  <r>
    <s v="TX502330"/>
    <x v="3"/>
    <x v="2"/>
    <n v="80.599999999999994"/>
    <n v="241.79999999999998"/>
    <x v="85"/>
    <d v="2025-03-28T00:00:00"/>
    <x v="1"/>
    <x v="4"/>
    <x v="1"/>
    <x v="0"/>
    <x v="19"/>
    <x v="3"/>
    <x v="12"/>
    <x v="1"/>
  </r>
  <r>
    <s v="TX502331"/>
    <x v="1"/>
    <x v="20"/>
    <n v="70"/>
    <n v="1050"/>
    <x v="85"/>
    <d v="2025-03-29T00:00:00"/>
    <x v="1"/>
    <x v="0"/>
    <x v="0"/>
    <x v="0"/>
    <x v="20"/>
    <x v="1"/>
    <x v="12"/>
    <x v="1"/>
  </r>
  <r>
    <s v="TX502332"/>
    <x v="4"/>
    <x v="13"/>
    <n v="27.3"/>
    <n v="163.80000000000001"/>
    <x v="85"/>
    <d v="2025-03-29T00:00:00"/>
    <x v="2"/>
    <x v="1"/>
    <x v="1"/>
    <x v="0"/>
    <x v="2"/>
    <x v="1"/>
    <x v="12"/>
    <x v="2"/>
  </r>
  <r>
    <s v="TX502333"/>
    <x v="8"/>
    <x v="21"/>
    <n v="37.6"/>
    <n v="526.4"/>
    <x v="85"/>
    <d v="2025-03-29T00:00:00"/>
    <x v="1"/>
    <x v="1"/>
    <x v="0"/>
    <x v="0"/>
    <x v="3"/>
    <x v="1"/>
    <x v="12"/>
    <x v="1"/>
  </r>
  <r>
    <s v="TX502334"/>
    <x v="5"/>
    <x v="2"/>
    <n v="36.6"/>
    <n v="109.80000000000001"/>
    <x v="85"/>
    <d v="2025-03-29T00:00:00"/>
    <x v="2"/>
    <x v="4"/>
    <x v="0"/>
    <x v="0"/>
    <x v="3"/>
    <x v="1"/>
    <x v="12"/>
    <x v="2"/>
  </r>
  <r>
    <s v="TX502335"/>
    <x v="13"/>
    <x v="0"/>
    <n v="55.2"/>
    <n v="55.2"/>
    <x v="85"/>
    <d v="2025-03-29T00:00:00"/>
    <x v="1"/>
    <x v="3"/>
    <x v="0"/>
    <x v="0"/>
    <x v="3"/>
    <x v="1"/>
    <x v="12"/>
    <x v="1"/>
  </r>
  <r>
    <s v="TX502336"/>
    <x v="6"/>
    <x v="9"/>
    <n v="59.9"/>
    <n v="299.5"/>
    <x v="85"/>
    <d v="2025-03-29T00:00:00"/>
    <x v="1"/>
    <x v="0"/>
    <x v="0"/>
    <x v="0"/>
    <x v="3"/>
    <x v="1"/>
    <x v="12"/>
    <x v="1"/>
  </r>
  <r>
    <s v="TX502337"/>
    <x v="6"/>
    <x v="0"/>
    <n v="44"/>
    <n v="44"/>
    <x v="85"/>
    <d v="2025-03-28T00:00:00"/>
    <x v="2"/>
    <x v="2"/>
    <x v="2"/>
    <x v="0"/>
    <x v="3"/>
    <x v="3"/>
    <x v="12"/>
    <x v="2"/>
  </r>
  <r>
    <s v="TX502338"/>
    <x v="9"/>
    <x v="1"/>
    <n v="68.7"/>
    <n v="137.4"/>
    <x v="85"/>
    <d v="2025-03-27T00:00:00"/>
    <x v="1"/>
    <x v="0"/>
    <x v="0"/>
    <x v="0"/>
    <x v="3"/>
    <x v="7"/>
    <x v="12"/>
    <x v="1"/>
  </r>
  <r>
    <s v="TX502339"/>
    <x v="5"/>
    <x v="1"/>
    <n v="61.6"/>
    <n v="123.2"/>
    <x v="85"/>
    <d v="2025-03-31T00:00:00"/>
    <x v="1"/>
    <x v="3"/>
    <x v="1"/>
    <x v="0"/>
    <x v="3"/>
    <x v="5"/>
    <x v="12"/>
    <x v="1"/>
  </r>
  <r>
    <s v="TX502340"/>
    <x v="7"/>
    <x v="3"/>
    <n v="51.8"/>
    <n v="362.59999999999997"/>
    <x v="85"/>
    <d v="2025-03-28T00:00:00"/>
    <x v="1"/>
    <x v="0"/>
    <x v="0"/>
    <x v="0"/>
    <x v="3"/>
    <x v="3"/>
    <x v="12"/>
    <x v="1"/>
  </r>
  <r>
    <s v="TX502341"/>
    <x v="8"/>
    <x v="7"/>
    <n v="46.2"/>
    <n v="462"/>
    <x v="85"/>
    <d v="2025-03-29T00:00:00"/>
    <x v="1"/>
    <x v="1"/>
    <x v="2"/>
    <x v="0"/>
    <x v="3"/>
    <x v="1"/>
    <x v="12"/>
    <x v="1"/>
  </r>
  <r>
    <s v="TX502342"/>
    <x v="0"/>
    <x v="1"/>
    <n v="19.399999999999999"/>
    <n v="38.799999999999997"/>
    <x v="85"/>
    <d v="2025-03-29T00:00:00"/>
    <x v="2"/>
    <x v="1"/>
    <x v="2"/>
    <x v="0"/>
    <x v="6"/>
    <x v="1"/>
    <x v="12"/>
    <x v="2"/>
  </r>
  <r>
    <s v="TX502343"/>
    <x v="11"/>
    <x v="2"/>
    <n v="52.1"/>
    <n v="156.30000000000001"/>
    <x v="85"/>
    <d v="2025-03-30T00:00:00"/>
    <x v="1"/>
    <x v="3"/>
    <x v="3"/>
    <x v="0"/>
    <x v="6"/>
    <x v="2"/>
    <x v="12"/>
    <x v="1"/>
  </r>
  <r>
    <s v="TX502344"/>
    <x v="6"/>
    <x v="0"/>
    <n v="74.900000000000006"/>
    <n v="74.900000000000006"/>
    <x v="85"/>
    <d v="2025-03-29T00:00:00"/>
    <x v="3"/>
    <x v="0"/>
    <x v="0"/>
    <x v="0"/>
    <x v="7"/>
    <x v="1"/>
    <x v="12"/>
    <x v="3"/>
  </r>
  <r>
    <s v="TX502345"/>
    <x v="9"/>
    <x v="3"/>
    <n v="49.6"/>
    <n v="347.2"/>
    <x v="85"/>
    <d v="2025-03-30T00:00:00"/>
    <x v="2"/>
    <x v="4"/>
    <x v="0"/>
    <x v="0"/>
    <x v="8"/>
    <x v="2"/>
    <x v="12"/>
    <x v="2"/>
  </r>
  <r>
    <s v="TX502346"/>
    <x v="16"/>
    <x v="12"/>
    <n v="82.8"/>
    <n v="331.2"/>
    <x v="86"/>
    <d v="2025-03-31T00:00:00"/>
    <x v="2"/>
    <x v="4"/>
    <x v="0"/>
    <x v="0"/>
    <x v="8"/>
    <x v="2"/>
    <x v="12"/>
    <x v="2"/>
  </r>
  <r>
    <s v="TX502347"/>
    <x v="2"/>
    <x v="0"/>
    <n v="97.7"/>
    <n v="97.7"/>
    <x v="86"/>
    <d v="2025-03-29T00:00:00"/>
    <x v="2"/>
    <x v="1"/>
    <x v="0"/>
    <x v="0"/>
    <x v="8"/>
    <x v="3"/>
    <x v="12"/>
    <x v="2"/>
  </r>
  <r>
    <s v="TX502348"/>
    <x v="6"/>
    <x v="9"/>
    <n v="83.6"/>
    <n v="418"/>
    <x v="86"/>
    <d v="2025-03-29T00:00:00"/>
    <x v="2"/>
    <x v="4"/>
    <x v="0"/>
    <x v="0"/>
    <x v="8"/>
    <x v="3"/>
    <x v="12"/>
    <x v="2"/>
  </r>
  <r>
    <s v="TX502349"/>
    <x v="8"/>
    <x v="9"/>
    <n v="23.5"/>
    <n v="117.5"/>
    <x v="86"/>
    <d v="2025-04-01T00:00:00"/>
    <x v="3"/>
    <x v="0"/>
    <x v="0"/>
    <x v="0"/>
    <x v="8"/>
    <x v="5"/>
    <x v="12"/>
    <x v="3"/>
  </r>
  <r>
    <s v="TX502350"/>
    <x v="9"/>
    <x v="2"/>
    <n v="44.6"/>
    <n v="133.80000000000001"/>
    <x v="86"/>
    <d v="2025-03-31T00:00:00"/>
    <x v="2"/>
    <x v="4"/>
    <x v="1"/>
    <x v="0"/>
    <x v="26"/>
    <x v="2"/>
    <x v="12"/>
    <x v="2"/>
  </r>
  <r>
    <s v="TX502351"/>
    <x v="0"/>
    <x v="2"/>
    <n v="20.100000000000001"/>
    <n v="60.300000000000004"/>
    <x v="86"/>
    <d v="2025-03-30T00:00:00"/>
    <x v="2"/>
    <x v="3"/>
    <x v="4"/>
    <x v="0"/>
    <x v="11"/>
    <x v="1"/>
    <x v="12"/>
    <x v="2"/>
  </r>
  <r>
    <s v="TX502352"/>
    <x v="2"/>
    <x v="9"/>
    <n v="153.6"/>
    <n v="768"/>
    <x v="86"/>
    <d v="2025-03-29T00:00:00"/>
    <x v="2"/>
    <x v="1"/>
    <x v="2"/>
    <x v="0"/>
    <x v="53"/>
    <x v="3"/>
    <x v="12"/>
    <x v="2"/>
  </r>
  <r>
    <s v="TX502353"/>
    <x v="1"/>
    <x v="1"/>
    <n v="71.8"/>
    <n v="143.6"/>
    <x v="86"/>
    <d v="2025-04-01T00:00:00"/>
    <x v="2"/>
    <x v="1"/>
    <x v="0"/>
    <x v="0"/>
    <x v="1"/>
    <x v="5"/>
    <x v="12"/>
    <x v="2"/>
  </r>
  <r>
    <s v="TX502354"/>
    <x v="10"/>
    <x v="0"/>
    <n v="64.7"/>
    <n v="64.7"/>
    <x v="86"/>
    <d v="2025-03-30T00:00:00"/>
    <x v="0"/>
    <x v="0"/>
    <x v="1"/>
    <x v="0"/>
    <x v="1"/>
    <x v="1"/>
    <x v="12"/>
    <x v="0"/>
  </r>
  <r>
    <s v="TX502355"/>
    <x v="9"/>
    <x v="8"/>
    <n v="60.4"/>
    <n v="483.2"/>
    <x v="86"/>
    <d v="2025-03-30T00:00:00"/>
    <x v="2"/>
    <x v="3"/>
    <x v="2"/>
    <x v="0"/>
    <x v="2"/>
    <x v="1"/>
    <x v="12"/>
    <x v="2"/>
  </r>
  <r>
    <s v="TX502356"/>
    <x v="6"/>
    <x v="12"/>
    <n v="86"/>
    <n v="344"/>
    <x v="86"/>
    <d v="2025-03-31T00:00:00"/>
    <x v="2"/>
    <x v="2"/>
    <x v="2"/>
    <x v="0"/>
    <x v="22"/>
    <x v="2"/>
    <x v="12"/>
    <x v="2"/>
  </r>
  <r>
    <s v="TX502357"/>
    <x v="12"/>
    <x v="1"/>
    <n v="42.1"/>
    <n v="84.2"/>
    <x v="86"/>
    <d v="2025-03-29T00:00:00"/>
    <x v="2"/>
    <x v="4"/>
    <x v="1"/>
    <x v="0"/>
    <x v="34"/>
    <x v="3"/>
    <x v="12"/>
    <x v="2"/>
  </r>
  <r>
    <s v="TX502358"/>
    <x v="16"/>
    <x v="11"/>
    <n v="51.1"/>
    <n v="459.90000000000003"/>
    <x v="86"/>
    <d v="2025-03-29T00:00:00"/>
    <x v="1"/>
    <x v="2"/>
    <x v="1"/>
    <x v="0"/>
    <x v="3"/>
    <x v="3"/>
    <x v="12"/>
    <x v="1"/>
  </r>
  <r>
    <s v="TX502359"/>
    <x v="9"/>
    <x v="12"/>
    <n v="73.8"/>
    <n v="295.2"/>
    <x v="86"/>
    <d v="2025-03-29T00:00:00"/>
    <x v="1"/>
    <x v="4"/>
    <x v="0"/>
    <x v="0"/>
    <x v="3"/>
    <x v="3"/>
    <x v="12"/>
    <x v="1"/>
  </r>
  <r>
    <s v="TX502360"/>
    <x v="8"/>
    <x v="9"/>
    <n v="27"/>
    <n v="135"/>
    <x v="86"/>
    <d v="2025-03-31T00:00:00"/>
    <x v="2"/>
    <x v="2"/>
    <x v="2"/>
    <x v="0"/>
    <x v="3"/>
    <x v="2"/>
    <x v="12"/>
    <x v="2"/>
  </r>
  <r>
    <s v="TX502361"/>
    <x v="8"/>
    <x v="13"/>
    <n v="60.1"/>
    <n v="360.6"/>
    <x v="86"/>
    <d v="2025-03-29T00:00:00"/>
    <x v="1"/>
    <x v="3"/>
    <x v="0"/>
    <x v="0"/>
    <x v="3"/>
    <x v="3"/>
    <x v="12"/>
    <x v="1"/>
  </r>
  <r>
    <s v="TX502362"/>
    <x v="2"/>
    <x v="3"/>
    <n v="94.1"/>
    <n v="658.69999999999993"/>
    <x v="86"/>
    <d v="2025-03-30T00:00:00"/>
    <x v="2"/>
    <x v="4"/>
    <x v="1"/>
    <x v="0"/>
    <x v="3"/>
    <x v="1"/>
    <x v="12"/>
    <x v="2"/>
  </r>
  <r>
    <s v="TX502363"/>
    <x v="2"/>
    <x v="1"/>
    <n v="124.1"/>
    <n v="248.2"/>
    <x v="86"/>
    <d v="2025-03-28T00:00:00"/>
    <x v="2"/>
    <x v="2"/>
    <x v="3"/>
    <x v="0"/>
    <x v="43"/>
    <x v="7"/>
    <x v="12"/>
    <x v="2"/>
  </r>
  <r>
    <s v="TX502364"/>
    <x v="8"/>
    <x v="12"/>
    <n v="16.899999999999999"/>
    <n v="67.599999999999994"/>
    <x v="86"/>
    <d v="2025-03-31T00:00:00"/>
    <x v="1"/>
    <x v="3"/>
    <x v="0"/>
    <x v="0"/>
    <x v="6"/>
    <x v="2"/>
    <x v="12"/>
    <x v="1"/>
  </r>
  <r>
    <s v="TX502365"/>
    <x v="1"/>
    <x v="0"/>
    <n v="36.9"/>
    <n v="36.9"/>
    <x v="86"/>
    <d v="2025-03-29T00:00:00"/>
    <x v="1"/>
    <x v="0"/>
    <x v="0"/>
    <x v="0"/>
    <x v="6"/>
    <x v="3"/>
    <x v="12"/>
    <x v="1"/>
  </r>
  <r>
    <s v="TX502366"/>
    <x v="9"/>
    <x v="1"/>
    <n v="22.6"/>
    <n v="45.2"/>
    <x v="86"/>
    <d v="2025-04-10T00:00:00"/>
    <x v="2"/>
    <x v="2"/>
    <x v="1"/>
    <x v="0"/>
    <x v="8"/>
    <x v="10"/>
    <x v="12"/>
    <x v="2"/>
  </r>
  <r>
    <s v="TX502367"/>
    <x v="7"/>
    <x v="12"/>
    <n v="35"/>
    <n v="140"/>
    <x v="86"/>
    <d v="2025-04-02T00:00:00"/>
    <x v="1"/>
    <x v="3"/>
    <x v="1"/>
    <x v="0"/>
    <x v="8"/>
    <x v="0"/>
    <x v="12"/>
    <x v="1"/>
  </r>
  <r>
    <s v="TX502368"/>
    <x v="9"/>
    <x v="13"/>
    <n v="63.6"/>
    <n v="381.6"/>
    <x v="86"/>
    <d v="2025-04-04T00:00:00"/>
    <x v="0"/>
    <x v="1"/>
    <x v="2"/>
    <x v="0"/>
    <x v="8"/>
    <x v="6"/>
    <x v="12"/>
    <x v="0"/>
  </r>
  <r>
    <s v="TX502369"/>
    <x v="15"/>
    <x v="12"/>
    <n v="78.599999999999994"/>
    <n v="314.39999999999998"/>
    <x v="86"/>
    <d v="2025-03-29T00:00:00"/>
    <x v="1"/>
    <x v="4"/>
    <x v="1"/>
    <x v="0"/>
    <x v="8"/>
    <x v="3"/>
    <x v="12"/>
    <x v="1"/>
  </r>
  <r>
    <s v="TX502370"/>
    <x v="3"/>
    <x v="1"/>
    <n v="38.5"/>
    <n v="77"/>
    <x v="86"/>
    <d v="2025-03-29T00:00:00"/>
    <x v="1"/>
    <x v="0"/>
    <x v="2"/>
    <x v="0"/>
    <x v="8"/>
    <x v="3"/>
    <x v="12"/>
    <x v="1"/>
  </r>
  <r>
    <s v="TX502371"/>
    <x v="8"/>
    <x v="5"/>
    <n v="71.5"/>
    <n v="786.5"/>
    <x v="86"/>
    <d v="2025-03-29T00:00:00"/>
    <x v="2"/>
    <x v="1"/>
    <x v="4"/>
    <x v="0"/>
    <x v="8"/>
    <x v="3"/>
    <x v="12"/>
    <x v="2"/>
  </r>
  <r>
    <s v="TX502372"/>
    <x v="6"/>
    <x v="12"/>
    <n v="121.4"/>
    <n v="485.6"/>
    <x v="86"/>
    <d v="2025-04-01T00:00:00"/>
    <x v="1"/>
    <x v="1"/>
    <x v="2"/>
    <x v="0"/>
    <x v="17"/>
    <x v="5"/>
    <x v="12"/>
    <x v="1"/>
  </r>
  <r>
    <s v="TX502373"/>
    <x v="11"/>
    <x v="0"/>
    <n v="40.200000000000003"/>
    <n v="40.200000000000003"/>
    <x v="86"/>
    <d v="2025-03-31T00:00:00"/>
    <x v="2"/>
    <x v="0"/>
    <x v="2"/>
    <x v="0"/>
    <x v="11"/>
    <x v="2"/>
    <x v="12"/>
    <x v="2"/>
  </r>
  <r>
    <s v="TX502374"/>
    <x v="5"/>
    <x v="9"/>
    <n v="31.9"/>
    <n v="159.5"/>
    <x v="86"/>
    <d v="2025-03-30T00:00:00"/>
    <x v="2"/>
    <x v="2"/>
    <x v="2"/>
    <x v="0"/>
    <x v="28"/>
    <x v="1"/>
    <x v="12"/>
    <x v="2"/>
  </r>
  <r>
    <s v="TX502375"/>
    <x v="14"/>
    <x v="9"/>
    <n v="15.8"/>
    <n v="79"/>
    <x v="87"/>
    <d v="2025-03-30T00:00:00"/>
    <x v="1"/>
    <x v="3"/>
    <x v="2"/>
    <x v="0"/>
    <x v="21"/>
    <x v="3"/>
    <x v="12"/>
    <x v="1"/>
  </r>
  <r>
    <s v="TX502376"/>
    <x v="10"/>
    <x v="1"/>
    <n v="25.1"/>
    <n v="50.2"/>
    <x v="87"/>
    <d v="2025-03-31T00:00:00"/>
    <x v="0"/>
    <x v="1"/>
    <x v="0"/>
    <x v="0"/>
    <x v="21"/>
    <x v="1"/>
    <x v="12"/>
    <x v="0"/>
  </r>
  <r>
    <s v="TX502377"/>
    <x v="1"/>
    <x v="44"/>
    <n v="38.1"/>
    <n v="876.30000000000007"/>
    <x v="87"/>
    <d v="2025-03-30T00:00:00"/>
    <x v="2"/>
    <x v="4"/>
    <x v="0"/>
    <x v="0"/>
    <x v="1"/>
    <x v="3"/>
    <x v="12"/>
    <x v="2"/>
  </r>
  <r>
    <s v="TX502378"/>
    <x v="3"/>
    <x v="1"/>
    <n v="42.2"/>
    <n v="84.4"/>
    <x v="87"/>
    <d v="2025-03-31T00:00:00"/>
    <x v="2"/>
    <x v="0"/>
    <x v="2"/>
    <x v="0"/>
    <x v="1"/>
    <x v="1"/>
    <x v="12"/>
    <x v="2"/>
  </r>
  <r>
    <s v="TX502379"/>
    <x v="0"/>
    <x v="7"/>
    <n v="12.3"/>
    <n v="123"/>
    <x v="87"/>
    <d v="2025-03-30T00:00:00"/>
    <x v="2"/>
    <x v="4"/>
    <x v="0"/>
    <x v="0"/>
    <x v="2"/>
    <x v="3"/>
    <x v="12"/>
    <x v="2"/>
  </r>
  <r>
    <s v="TX502380"/>
    <x v="7"/>
    <x v="0"/>
    <n v="30.2"/>
    <n v="30.2"/>
    <x v="87"/>
    <d v="2025-03-31T00:00:00"/>
    <x v="2"/>
    <x v="1"/>
    <x v="2"/>
    <x v="0"/>
    <x v="34"/>
    <x v="1"/>
    <x v="12"/>
    <x v="2"/>
  </r>
  <r>
    <s v="TX502381"/>
    <x v="5"/>
    <x v="2"/>
    <n v="25.3"/>
    <n v="75.900000000000006"/>
    <x v="87"/>
    <d v="2025-04-01T00:00:00"/>
    <x v="2"/>
    <x v="2"/>
    <x v="0"/>
    <x v="0"/>
    <x v="3"/>
    <x v="2"/>
    <x v="12"/>
    <x v="2"/>
  </r>
  <r>
    <s v="TX502382"/>
    <x v="8"/>
    <x v="9"/>
    <n v="29.7"/>
    <n v="148.5"/>
    <x v="87"/>
    <d v="2025-03-31T00:00:00"/>
    <x v="1"/>
    <x v="3"/>
    <x v="0"/>
    <x v="0"/>
    <x v="3"/>
    <x v="1"/>
    <x v="12"/>
    <x v="1"/>
  </r>
  <r>
    <s v="TX502383"/>
    <x v="9"/>
    <x v="8"/>
    <n v="32.9"/>
    <n v="263.2"/>
    <x v="87"/>
    <d v="2025-03-30T00:00:00"/>
    <x v="0"/>
    <x v="3"/>
    <x v="2"/>
    <x v="0"/>
    <x v="3"/>
    <x v="3"/>
    <x v="12"/>
    <x v="0"/>
  </r>
  <r>
    <s v="TX502384"/>
    <x v="10"/>
    <x v="1"/>
    <n v="43.6"/>
    <n v="87.2"/>
    <x v="87"/>
    <d v="2025-03-30T00:00:00"/>
    <x v="1"/>
    <x v="1"/>
    <x v="2"/>
    <x v="0"/>
    <x v="3"/>
    <x v="3"/>
    <x v="12"/>
    <x v="1"/>
  </r>
  <r>
    <s v="TX502385"/>
    <x v="15"/>
    <x v="12"/>
    <n v="78.400000000000006"/>
    <n v="313.60000000000002"/>
    <x v="87"/>
    <d v="2025-03-30T00:00:00"/>
    <x v="1"/>
    <x v="2"/>
    <x v="0"/>
    <x v="0"/>
    <x v="3"/>
    <x v="3"/>
    <x v="12"/>
    <x v="1"/>
  </r>
  <r>
    <s v="TX502386"/>
    <x v="6"/>
    <x v="1"/>
    <n v="56.5"/>
    <n v="113"/>
    <x v="87"/>
    <d v="2025-04-02T00:00:00"/>
    <x v="1"/>
    <x v="1"/>
    <x v="1"/>
    <x v="0"/>
    <x v="3"/>
    <x v="5"/>
    <x v="12"/>
    <x v="1"/>
  </r>
  <r>
    <s v="TX502387"/>
    <x v="16"/>
    <x v="0"/>
    <n v="36.700000000000003"/>
    <n v="36.700000000000003"/>
    <x v="87"/>
    <d v="2025-03-30T00:00:00"/>
    <x v="2"/>
    <x v="0"/>
    <x v="2"/>
    <x v="0"/>
    <x v="3"/>
    <x v="3"/>
    <x v="12"/>
    <x v="2"/>
  </r>
  <r>
    <s v="TX502388"/>
    <x v="2"/>
    <x v="12"/>
    <n v="103.6"/>
    <n v="414.4"/>
    <x v="87"/>
    <d v="2025-04-09T00:00:00"/>
    <x v="1"/>
    <x v="4"/>
    <x v="2"/>
    <x v="0"/>
    <x v="3"/>
    <x v="11"/>
    <x v="12"/>
    <x v="1"/>
  </r>
  <r>
    <s v="TX502389"/>
    <x v="8"/>
    <x v="13"/>
    <n v="16.2"/>
    <n v="97.199999999999989"/>
    <x v="87"/>
    <d v="2025-04-02T00:00:00"/>
    <x v="1"/>
    <x v="1"/>
    <x v="2"/>
    <x v="0"/>
    <x v="6"/>
    <x v="5"/>
    <x v="12"/>
    <x v="1"/>
  </r>
  <r>
    <s v="TX502390"/>
    <x v="8"/>
    <x v="1"/>
    <n v="20.2"/>
    <n v="40.4"/>
    <x v="87"/>
    <d v="2025-03-30T00:00:00"/>
    <x v="2"/>
    <x v="0"/>
    <x v="0"/>
    <x v="0"/>
    <x v="6"/>
    <x v="3"/>
    <x v="12"/>
    <x v="2"/>
  </r>
  <r>
    <s v="TX502391"/>
    <x v="11"/>
    <x v="1"/>
    <n v="26.9"/>
    <n v="53.8"/>
    <x v="87"/>
    <d v="2025-03-31T00:00:00"/>
    <x v="2"/>
    <x v="2"/>
    <x v="0"/>
    <x v="0"/>
    <x v="6"/>
    <x v="1"/>
    <x v="12"/>
    <x v="2"/>
  </r>
  <r>
    <s v="TX502392"/>
    <x v="1"/>
    <x v="1"/>
    <n v="82.4"/>
    <n v="164.8"/>
    <x v="87"/>
    <d v="2025-04-01T00:00:00"/>
    <x v="0"/>
    <x v="0"/>
    <x v="0"/>
    <x v="0"/>
    <x v="7"/>
    <x v="2"/>
    <x v="12"/>
    <x v="0"/>
  </r>
  <r>
    <s v="TX502393"/>
    <x v="2"/>
    <x v="1"/>
    <n v="117.8"/>
    <n v="235.6"/>
    <x v="87"/>
    <d v="2025-03-31T00:00:00"/>
    <x v="1"/>
    <x v="1"/>
    <x v="2"/>
    <x v="0"/>
    <x v="8"/>
    <x v="1"/>
    <x v="12"/>
    <x v="1"/>
  </r>
  <r>
    <s v="TX502394"/>
    <x v="11"/>
    <x v="12"/>
    <n v="36.700000000000003"/>
    <n v="146.80000000000001"/>
    <x v="87"/>
    <d v="2025-03-30T00:00:00"/>
    <x v="1"/>
    <x v="1"/>
    <x v="0"/>
    <x v="0"/>
    <x v="8"/>
    <x v="3"/>
    <x v="12"/>
    <x v="1"/>
  </r>
  <r>
    <s v="TX502395"/>
    <x v="17"/>
    <x v="2"/>
    <n v="46.8"/>
    <n v="140.39999999999998"/>
    <x v="87"/>
    <d v="2025-03-30T00:00:00"/>
    <x v="1"/>
    <x v="4"/>
    <x v="2"/>
    <x v="0"/>
    <x v="10"/>
    <x v="3"/>
    <x v="12"/>
    <x v="1"/>
  </r>
  <r>
    <s v="TX502396"/>
    <x v="3"/>
    <x v="0"/>
    <n v="61.4"/>
    <n v="61.4"/>
    <x v="87"/>
    <d v="2025-03-30T00:00:00"/>
    <x v="1"/>
    <x v="1"/>
    <x v="0"/>
    <x v="0"/>
    <x v="10"/>
    <x v="3"/>
    <x v="12"/>
    <x v="1"/>
  </r>
  <r>
    <s v="TX502397"/>
    <x v="15"/>
    <x v="1"/>
    <n v="22.9"/>
    <n v="45.8"/>
    <x v="87"/>
    <d v="2025-03-30T00:00:00"/>
    <x v="1"/>
    <x v="0"/>
    <x v="0"/>
    <x v="0"/>
    <x v="11"/>
    <x v="3"/>
    <x v="12"/>
    <x v="1"/>
  </r>
  <r>
    <s v="TX502398"/>
    <x v="10"/>
    <x v="1"/>
    <n v="22.1"/>
    <n v="44.2"/>
    <x v="87"/>
    <d v="2025-03-30T00:00:00"/>
    <x v="2"/>
    <x v="4"/>
    <x v="0"/>
    <x v="0"/>
    <x v="11"/>
    <x v="3"/>
    <x v="12"/>
    <x v="2"/>
  </r>
  <r>
    <s v="TX502399"/>
    <x v="12"/>
    <x v="1"/>
    <n v="31"/>
    <n v="62"/>
    <x v="87"/>
    <d v="2025-03-31T00:00:00"/>
    <x v="2"/>
    <x v="2"/>
    <x v="0"/>
    <x v="0"/>
    <x v="18"/>
    <x v="1"/>
    <x v="12"/>
    <x v="2"/>
  </r>
  <r>
    <s v="TX502400"/>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E40CEC-C665-4FBA-9EA2-29E6ABE470F4}" name="Trend13week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8:C22"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594D71-0A8C-4E98-A454-E2E1CAB93354}"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pvtSummary" fld="0" subtotal="count" baseField="0" baseItem="0"/>
    <dataField name="Sum of Quantity" fld="2" baseField="0" baseItem="0"/>
    <dataField name="Sum of Amount" fld="4" baseField="0" baseItem="0"/>
    <dataField name="Average of Rating C" fld="9" subtotal="average" baseField="0" baseItem="1"/>
    <dataField name="Average of Days to Deliver"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510B5C-989B-45F1-BD85-EFD4FA473644}" name="popular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13:O3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4" format="8" series="1">
      <pivotArea type="data" outline="0" fieldPosition="0">
        <references count="2">
          <reference field="4294967294" count="1" selected="0">
            <x v="0"/>
          </reference>
          <reference field="14" count="1" selected="0">
            <x v="0"/>
          </reference>
        </references>
      </pivotArea>
    </chartFormat>
    <chartFormat chart="4" format="9" series="1">
      <pivotArea type="data" outline="0" fieldPosition="0">
        <references count="2">
          <reference field="4294967294" count="1" selected="0">
            <x v="0"/>
          </reference>
          <reference field="14" count="1" selected="0">
            <x v="1"/>
          </reference>
        </references>
      </pivotArea>
    </chartFormat>
    <chartFormat chart="4" format="10" series="1">
      <pivotArea type="data" outline="0" fieldPosition="0">
        <references count="2">
          <reference field="4294967294" count="1" selected="0">
            <x v="0"/>
          </reference>
          <reference field="14" count="1" selected="0">
            <x v="2"/>
          </reference>
        </references>
      </pivotArea>
    </chartFormat>
    <chartFormat chart="4"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1D1E2C-41E2-4D44-8C8E-848BEE134D01}" name="Buying mediu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n="Unkwn"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like to buy"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35F636-AC95-4B42-985F-F51226AE2B94}" name="rating"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D38:J43"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5" format="13" series="1">
      <pivotArea type="data" outline="0" fieldPosition="0">
        <references count="2">
          <reference field="4294967294" count="1" selected="0">
            <x v="0"/>
          </reference>
          <reference field="9" count="1" selected="0">
            <x v="0"/>
          </reference>
        </references>
      </pivotArea>
    </chartFormat>
    <chartFormat chart="5" format="14" series="1">
      <pivotArea type="data" outline="0" fieldPosition="0">
        <references count="2">
          <reference field="4294967294" count="1" selected="0">
            <x v="0"/>
          </reference>
          <reference field="9" count="1" selected="0">
            <x v="1"/>
          </reference>
        </references>
      </pivotArea>
    </chartFormat>
    <chartFormat chart="5" format="15" series="1">
      <pivotArea type="data" outline="0" fieldPosition="0">
        <references count="2">
          <reference field="4294967294" count="1" selected="0">
            <x v="0"/>
          </reference>
          <reference field="9" count="1" selected="0">
            <x v="2"/>
          </reference>
        </references>
      </pivotArea>
    </chartFormat>
    <chartFormat chart="5" format="16" series="1">
      <pivotArea type="data" outline="0" fieldPosition="0">
        <references count="2">
          <reference field="4294967294" count="1" selected="0">
            <x v="0"/>
          </reference>
          <reference field="9" count="1" selected="0">
            <x v="3"/>
          </reference>
        </references>
      </pivotArea>
    </chartFormat>
    <chartFormat chart="5"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7F88B5-BAB0-43E3-9060-A61B77F9EF46}" name="howmanybu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16:C24"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B201EA-6E92-40CA-BE32-125B49D362D2}" name="Daysto deliv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8:B54"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A466B6-4109-4DE8-AE5F-A8F6C1B147DB}" name="Ma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Z10:AC68"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2BF2F8-FB31-4B2A-9C80-A823C98839E7}" name="genderbu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S10:T15"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3">
    <chartFormat chart="2" format="0" series="1">
      <pivotArea type="data" outline="0" fieldPosition="0">
        <references count="2">
          <reference field="4294967294" count="1" selected="0">
            <x v="0"/>
          </reference>
          <reference field="14" count="1" selected="0">
            <x v="0"/>
          </reference>
        </references>
      </pivotArea>
    </chartFormat>
    <chartFormat chart="2" format="1" series="1">
      <pivotArea type="data" outline="0" fieldPosition="0">
        <references count="2">
          <reference field="4294967294" count="1" selected="0">
            <x v="0"/>
          </reference>
          <reference field="14" count="1" selected="0">
            <x v="1"/>
          </reference>
        </references>
      </pivotArea>
    </chartFormat>
    <chartFormat chart="2" format="2" series="1">
      <pivotArea type="data" outline="0" fieldPosition="0">
        <references count="2">
          <reference field="4294967294" count="1" selected="0">
            <x v="0"/>
          </reference>
          <reference field="14" count="1" selected="0">
            <x v="2"/>
          </reference>
        </references>
      </pivotArea>
    </chartFormat>
    <chartFormat chart="2" format="3" series="1">
      <pivotArea type="data" outline="0" fieldPosition="0">
        <references count="2">
          <reference field="4294967294" count="1" selected="0">
            <x v="0"/>
          </reference>
          <reference field="14" count="1" selected="0">
            <x v="3"/>
          </reference>
        </references>
      </pivotArea>
    </chartFormat>
    <chartFormat chart="4" format="8" series="1">
      <pivotArea type="data" outline="0" fieldPosition="0">
        <references count="2">
          <reference field="4294967294" count="1" selected="0">
            <x v="0"/>
          </reference>
          <reference field="14" count="1" selected="0">
            <x v="0"/>
          </reference>
        </references>
      </pivotArea>
    </chartFormat>
    <chartFormat chart="4" format="9" series="1">
      <pivotArea type="data" outline="0" fieldPosition="0">
        <references count="2">
          <reference field="4294967294" count="1" selected="0">
            <x v="0"/>
          </reference>
          <reference field="14" count="1" selected="0">
            <x v="1"/>
          </reference>
        </references>
      </pivotArea>
    </chartFormat>
    <chartFormat chart="4" format="10" series="1">
      <pivotArea type="data" outline="0" fieldPosition="0">
        <references count="2">
          <reference field="4294967294" count="1" selected="0">
            <x v="0"/>
          </reference>
          <reference field="14" count="1" selected="0">
            <x v="2"/>
          </reference>
        </references>
      </pivotArea>
    </chartFormat>
    <chartFormat chart="4" format="11" series="1">
      <pivotArea type="data" outline="0" fieldPosition="0">
        <references count="2">
          <reference field="4294967294" count="1" selected="0">
            <x v="0"/>
          </reference>
          <reference field="14" count="1" selected="0">
            <x v="3"/>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4" count="1" selected="0">
            <x v="0"/>
          </reference>
        </references>
      </pivotArea>
    </chartFormat>
    <chartFormat chart="10" format="8">
      <pivotArea type="data" outline="0" fieldPosition="0">
        <references count="2">
          <reference field="4294967294" count="1" selected="0">
            <x v="0"/>
          </reference>
          <reference field="14" count="1" selected="0">
            <x v="1"/>
          </reference>
        </references>
      </pivotArea>
    </chartFormat>
    <chartFormat chart="10" format="9">
      <pivotArea type="data" outline="0" fieldPosition="0">
        <references count="2">
          <reference field="4294967294" count="1" selected="0">
            <x v="0"/>
          </reference>
          <reference field="14" count="1" selected="0">
            <x v="2"/>
          </reference>
        </references>
      </pivotArea>
    </chartFormat>
    <chartFormat chart="10"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5C4CC30A-DC72-4EDE-B839-E90301229FDF}" sourceName="Gender Value">
  <pivotTables>
    <pivotTable tabId="8" name="rating"/>
    <pivotTable tabId="5" name="KPI"/>
    <pivotTable tabId="5" name="Trend13weeks"/>
    <pivotTable tabId="8" name="Daysto deliver"/>
    <pivotTable tabId="8" name="howmanybuy"/>
    <pivotTable tabId="8" name="Map"/>
  </pivotTables>
  <data>
    <tabular pivotCacheId="253803230">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975E0C82-ED0F-4FDB-B039-381D50FA7426}" sourceName="Order Mode">
  <pivotTables>
    <pivotTable tabId="8" name="rating"/>
    <pivotTable tabId="5" name="KPI"/>
    <pivotTable tabId="5" name="Trend13weeks"/>
    <pivotTable tabId="8" name="Daysto deliver"/>
    <pivotTable tabId="8" name="genderbuy"/>
    <pivotTable tabId="8" name="howmanybuy"/>
    <pivotTable tabId="8" name="Map"/>
    <pivotTable tabId="8" name="popular product"/>
  </pivotTables>
  <data>
    <tabular pivotCacheId="253803230">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B6084F1C-E203-4264-8235-E4EBDAC37A21}" cache="Slicer_Gender_Value" caption="Gender Value" rowHeight="251883"/>
  <slicer name="Order Mode" xr10:uid="{B90EA042-E426-44C5-A114-6714BA71EF76}" cache="Slicer_Order_Mode" caption="Order Mod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autoFilter ref="A1:O2401" xr:uid="{32EEAC7A-86FC-461F-9D5F-511044F2AF9D}"/>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7E061-00AF-4D73-87C9-03708BD84205}">
  <dimension ref="A2:K22"/>
  <sheetViews>
    <sheetView workbookViewId="0">
      <selection activeCell="C9" sqref="C9"/>
    </sheetView>
  </sheetViews>
  <sheetFormatPr defaultRowHeight="14.5" x14ac:dyDescent="0.35"/>
  <cols>
    <col min="1" max="1" width="12.453125" bestFit="1" customWidth="1"/>
    <col min="2" max="2" width="14.26953125" bestFit="1" customWidth="1"/>
    <col min="3" max="3" width="13.6328125" bestFit="1" customWidth="1"/>
    <col min="4" max="4" width="16.81640625" bestFit="1" customWidth="1"/>
    <col min="5" max="5" width="22.36328125" bestFit="1" customWidth="1"/>
    <col min="10" max="10" width="9.6328125" bestFit="1" customWidth="1"/>
  </cols>
  <sheetData>
    <row r="2" spans="1:11" x14ac:dyDescent="0.35">
      <c r="G2" t="s">
        <v>2552</v>
      </c>
    </row>
    <row r="3" spans="1:11" x14ac:dyDescent="0.35">
      <c r="A3" t="s">
        <v>2567</v>
      </c>
      <c r="B3" t="s">
        <v>2548</v>
      </c>
      <c r="C3" t="s">
        <v>2549</v>
      </c>
      <c r="D3" t="s">
        <v>2550</v>
      </c>
      <c r="E3" t="s">
        <v>2551</v>
      </c>
      <c r="G3" t="s">
        <v>2537</v>
      </c>
      <c r="H3" t="s">
        <v>2553</v>
      </c>
      <c r="I3" t="s">
        <v>4</v>
      </c>
      <c r="J3" t="s">
        <v>2507</v>
      </c>
      <c r="K3" t="s">
        <v>2554</v>
      </c>
    </row>
    <row r="4" spans="1:11" x14ac:dyDescent="0.35">
      <c r="A4" s="25">
        <v>2400</v>
      </c>
      <c r="B4" s="25">
        <v>11997</v>
      </c>
      <c r="C4" s="25">
        <v>649019.80000000144</v>
      </c>
      <c r="D4" s="25">
        <v>3.9620833333333332</v>
      </c>
      <c r="E4" s="25">
        <v>2.3424999999999998</v>
      </c>
      <c r="G4" t="str">
        <f>TEXT(A4,"#,##")</f>
        <v>2,400</v>
      </c>
      <c r="H4" t="str">
        <f>TEXT(B4,"#,##")</f>
        <v>11,997</v>
      </c>
      <c r="I4" t="str">
        <f>TEXT(C4,"$#,##,.0k")</f>
        <v>$649.0k</v>
      </c>
      <c r="J4" t="str">
        <f>TEXT(D4,"0.0")</f>
        <v>4.0</v>
      </c>
      <c r="K4" t="str">
        <f>TEXT(E4,"0.0")</f>
        <v>2.3</v>
      </c>
    </row>
    <row r="8" spans="1:11" x14ac:dyDescent="0.35">
      <c r="A8" s="12" t="s">
        <v>2559</v>
      </c>
      <c r="B8" t="s">
        <v>2548</v>
      </c>
      <c r="C8" t="s">
        <v>2549</v>
      </c>
    </row>
    <row r="9" spans="1:11" x14ac:dyDescent="0.35">
      <c r="A9" s="13">
        <v>1</v>
      </c>
      <c r="B9" s="25">
        <v>546</v>
      </c>
      <c r="C9" s="14">
        <v>32413.300000000003</v>
      </c>
    </row>
    <row r="10" spans="1:11" x14ac:dyDescent="0.35">
      <c r="A10" s="13">
        <v>2</v>
      </c>
      <c r="B10" s="25">
        <v>905</v>
      </c>
      <c r="C10" s="14">
        <v>49562.999999999993</v>
      </c>
    </row>
    <row r="11" spans="1:11" x14ac:dyDescent="0.35">
      <c r="A11" s="13">
        <v>3</v>
      </c>
      <c r="B11" s="25">
        <v>796</v>
      </c>
      <c r="C11" s="14">
        <v>41700.400000000016</v>
      </c>
    </row>
    <row r="12" spans="1:11" x14ac:dyDescent="0.35">
      <c r="A12" s="13">
        <v>4</v>
      </c>
      <c r="B12" s="25">
        <v>913</v>
      </c>
      <c r="C12" s="14">
        <v>46782.599999999984</v>
      </c>
    </row>
    <row r="13" spans="1:11" x14ac:dyDescent="0.35">
      <c r="A13" s="13">
        <v>5</v>
      </c>
      <c r="B13" s="25">
        <v>844</v>
      </c>
      <c r="C13" s="14">
        <v>42676.100000000006</v>
      </c>
    </row>
    <row r="14" spans="1:11" x14ac:dyDescent="0.35">
      <c r="A14" s="13">
        <v>6</v>
      </c>
      <c r="B14" s="25">
        <v>1202</v>
      </c>
      <c r="C14" s="14">
        <v>62910.7</v>
      </c>
    </row>
    <row r="15" spans="1:11" x14ac:dyDescent="0.35">
      <c r="A15" s="13">
        <v>7</v>
      </c>
      <c r="B15" s="25">
        <v>935</v>
      </c>
      <c r="C15" s="14">
        <v>50332.200000000004</v>
      </c>
    </row>
    <row r="16" spans="1:11" x14ac:dyDescent="0.35">
      <c r="A16" s="13">
        <v>8</v>
      </c>
      <c r="B16" s="25">
        <v>1128</v>
      </c>
      <c r="C16" s="14">
        <v>58760.599999999977</v>
      </c>
    </row>
    <row r="17" spans="1:3" x14ac:dyDescent="0.35">
      <c r="A17" s="13">
        <v>9</v>
      </c>
      <c r="B17" s="25">
        <v>1007</v>
      </c>
      <c r="C17" s="14">
        <v>52017.299999999996</v>
      </c>
    </row>
    <row r="18" spans="1:3" x14ac:dyDescent="0.35">
      <c r="A18" s="13">
        <v>10</v>
      </c>
      <c r="B18" s="25">
        <v>1128</v>
      </c>
      <c r="C18" s="14">
        <v>64915.700000000033</v>
      </c>
    </row>
    <row r="19" spans="1:3" x14ac:dyDescent="0.35">
      <c r="A19" s="13">
        <v>11</v>
      </c>
      <c r="B19" s="25">
        <v>861</v>
      </c>
      <c r="C19" s="14">
        <v>45943.80000000001</v>
      </c>
    </row>
    <row r="20" spans="1:3" x14ac:dyDescent="0.35">
      <c r="A20" s="13">
        <v>12</v>
      </c>
      <c r="B20" s="25">
        <v>944</v>
      </c>
      <c r="C20" s="14">
        <v>55077.900000000031</v>
      </c>
    </row>
    <row r="21" spans="1:3" x14ac:dyDescent="0.35">
      <c r="A21" s="13">
        <v>13</v>
      </c>
      <c r="B21" s="25">
        <v>788</v>
      </c>
      <c r="C21" s="14">
        <v>45926.19999999999</v>
      </c>
    </row>
    <row r="22" spans="1:3" x14ac:dyDescent="0.35">
      <c r="A22" s="13" t="s">
        <v>2560</v>
      </c>
      <c r="B22" s="25">
        <v>11997</v>
      </c>
      <c r="C22" s="14">
        <v>649019.79999999993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A760D-6468-49EE-9329-CA6118A3BC10}">
  <dimension ref="A3:AT68"/>
  <sheetViews>
    <sheetView topLeftCell="C7" zoomScale="85" zoomScaleNormal="85" workbookViewId="0">
      <selection activeCell="N15" sqref="N15"/>
    </sheetView>
  </sheetViews>
  <sheetFormatPr defaultRowHeight="14.5" x14ac:dyDescent="0.35"/>
  <cols>
    <col min="1" max="2" width="13.1796875" bestFit="1" customWidth="1"/>
    <col min="3" max="3" width="12.6328125" bestFit="1" customWidth="1"/>
    <col min="4" max="4" width="6" bestFit="1" customWidth="1"/>
    <col min="5" max="5" width="8.7265625" bestFit="1" customWidth="1"/>
    <col min="6" max="6" width="10.36328125" bestFit="1" customWidth="1"/>
    <col min="7" max="7" width="10.36328125" customWidth="1"/>
    <col min="8" max="8" width="10.1796875" customWidth="1"/>
    <col min="9" max="9" width="6.26953125" customWidth="1"/>
    <col min="10" max="10" width="19.36328125" bestFit="1" customWidth="1"/>
    <col min="11" max="11" width="16.08984375" bestFit="1" customWidth="1"/>
    <col min="12" max="12" width="5.1796875" bestFit="1" customWidth="1"/>
    <col min="13" max="13" width="5.7265625" bestFit="1" customWidth="1"/>
    <col min="14" max="14" width="8.81640625" bestFit="1" customWidth="1"/>
    <col min="15" max="15" width="10.453125" bestFit="1" customWidth="1"/>
    <col min="19" max="19" width="13.1796875" bestFit="1" customWidth="1"/>
    <col min="20" max="20" width="14.26953125" bestFit="1" customWidth="1"/>
    <col min="21" max="21" width="5.1796875" bestFit="1" customWidth="1"/>
    <col min="22" max="22" width="5.7265625" bestFit="1" customWidth="1"/>
    <col min="23" max="23" width="8.81640625" bestFit="1" customWidth="1"/>
    <col min="24" max="24" width="10.453125" bestFit="1" customWidth="1"/>
    <col min="26" max="26" width="23.1796875" bestFit="1" customWidth="1"/>
    <col min="27" max="27" width="20.7265625" bestFit="1" customWidth="1"/>
    <col min="28" max="28" width="14.26953125" bestFit="1" customWidth="1"/>
    <col min="29" max="29" width="13.6328125" bestFit="1" customWidth="1"/>
    <col min="37" max="37" width="19.90625" bestFit="1" customWidth="1"/>
    <col min="42" max="42" width="10" customWidth="1"/>
    <col min="43" max="43" width="7.36328125" customWidth="1"/>
    <col min="44" max="44" width="7.08984375" customWidth="1"/>
    <col min="45" max="45" width="6.08984375" customWidth="1"/>
    <col min="46" max="46" width="7.08984375" customWidth="1"/>
  </cols>
  <sheetData>
    <row r="3" spans="1:46" x14ac:dyDescent="0.35">
      <c r="A3" s="12" t="s">
        <v>2568</v>
      </c>
      <c r="B3" s="12" t="s">
        <v>2561</v>
      </c>
    </row>
    <row r="4" spans="1:46" x14ac:dyDescent="0.35">
      <c r="A4" s="12" t="s">
        <v>2559</v>
      </c>
      <c r="B4" t="s">
        <v>2557</v>
      </c>
      <c r="C4" t="s">
        <v>2556</v>
      </c>
      <c r="D4" t="s">
        <v>2558</v>
      </c>
      <c r="E4" t="s">
        <v>2569</v>
      </c>
      <c r="F4" t="s">
        <v>2560</v>
      </c>
    </row>
    <row r="5" spans="1:46" ht="15" thickBot="1" x14ac:dyDescent="0.4">
      <c r="A5" s="13" t="s">
        <v>18</v>
      </c>
      <c r="B5" s="15">
        <v>0.18961825201634841</v>
      </c>
      <c r="C5" s="15">
        <v>0.12262322351336576</v>
      </c>
      <c r="D5" s="15">
        <v>1.060537752469185E-2</v>
      </c>
      <c r="E5" s="15">
        <v>3.0599220547662797E-2</v>
      </c>
      <c r="F5" s="15">
        <v>0.35344607360206881</v>
      </c>
      <c r="AP5" s="16"/>
      <c r="AQ5" s="17" t="str">
        <f t="shared" ref="AQ5:AT10" si="0">B4</f>
        <v>Female</v>
      </c>
      <c r="AR5" s="17" t="str">
        <f t="shared" si="0"/>
        <v>Male</v>
      </c>
      <c r="AS5" s="17" t="str">
        <f t="shared" si="0"/>
        <v>Other</v>
      </c>
      <c r="AT5" s="18" t="str">
        <f t="shared" si="0"/>
        <v>Unkwn</v>
      </c>
    </row>
    <row r="6" spans="1:46" ht="15.5" thickTop="1" thickBot="1" x14ac:dyDescent="0.4">
      <c r="A6" s="13" t="s">
        <v>51</v>
      </c>
      <c r="B6" s="15">
        <v>5.0283982091147303E-2</v>
      </c>
      <c r="C6" s="15">
        <v>4.3060781812819873E-2</v>
      </c>
      <c r="D6" s="15">
        <v>1.5320025675641944E-3</v>
      </c>
      <c r="E6" s="15">
        <v>1.7794988689097006E-2</v>
      </c>
      <c r="F6" s="15">
        <v>0.11267175516062837</v>
      </c>
      <c r="AP6" s="23" t="str">
        <f>A5</f>
        <v>App</v>
      </c>
      <c r="AQ6" s="19">
        <f t="shared" si="0"/>
        <v>0.18961825201634841</v>
      </c>
      <c r="AR6" s="19">
        <f t="shared" si="0"/>
        <v>0.12262322351336576</v>
      </c>
      <c r="AS6" s="19">
        <f t="shared" si="0"/>
        <v>1.060537752469185E-2</v>
      </c>
      <c r="AT6" s="20">
        <f t="shared" si="0"/>
        <v>3.0599220547662797E-2</v>
      </c>
    </row>
    <row r="7" spans="1:46" ht="15.5" thickTop="1" thickBot="1" x14ac:dyDescent="0.4">
      <c r="A7" s="13" t="s">
        <v>70</v>
      </c>
      <c r="B7" s="15">
        <v>6.3496059750411282E-2</v>
      </c>
      <c r="C7" s="15">
        <v>4.6071629863988765E-2</v>
      </c>
      <c r="D7" s="15">
        <v>2.306247051322625E-3</v>
      </c>
      <c r="E7" s="15">
        <v>3.8927934093844286E-3</v>
      </c>
      <c r="F7" s="15">
        <v>0.11576673007510711</v>
      </c>
      <c r="AP7" s="23" t="str">
        <f>A6</f>
        <v>Instagram</v>
      </c>
      <c r="AQ7" s="19">
        <f t="shared" si="0"/>
        <v>5.0283982091147303E-2</v>
      </c>
      <c r="AR7" s="19">
        <f t="shared" si="0"/>
        <v>4.3060781812819873E-2</v>
      </c>
      <c r="AS7" s="19">
        <f t="shared" si="0"/>
        <v>1.5320025675641944E-3</v>
      </c>
      <c r="AT7" s="20">
        <f t="shared" si="0"/>
        <v>1.7794988689097006E-2</v>
      </c>
    </row>
    <row r="8" spans="1:46" ht="15.5" thickTop="1" thickBot="1" x14ac:dyDescent="0.4">
      <c r="A8" s="13" t="s">
        <v>40</v>
      </c>
      <c r="B8" s="15">
        <v>9.6337892927149532E-2</v>
      </c>
      <c r="C8" s="15">
        <v>6.7920115842382611E-2</v>
      </c>
      <c r="D8" s="15">
        <v>5.4979832664581261E-3</v>
      </c>
      <c r="E8" s="15">
        <v>1.2933041488102518E-2</v>
      </c>
      <c r="F8" s="15">
        <v>0.1826890335240928</v>
      </c>
      <c r="AP8" s="23" t="str">
        <f>A7</f>
        <v>Partner App</v>
      </c>
      <c r="AQ8" s="19">
        <f t="shared" si="0"/>
        <v>6.3496059750411282E-2</v>
      </c>
      <c r="AR8" s="19">
        <f t="shared" si="0"/>
        <v>4.6071629863988765E-2</v>
      </c>
      <c r="AS8" s="19">
        <f t="shared" si="0"/>
        <v>2.306247051322625E-3</v>
      </c>
      <c r="AT8" s="20">
        <f t="shared" si="0"/>
        <v>3.8927934093844286E-3</v>
      </c>
    </row>
    <row r="9" spans="1:46" ht="15.5" thickTop="1" thickBot="1" x14ac:dyDescent="0.4">
      <c r="A9" s="13" t="s">
        <v>35</v>
      </c>
      <c r="B9" s="15">
        <v>0.12522098709469262</v>
      </c>
      <c r="C9" s="15">
        <v>9.1492740283116228E-2</v>
      </c>
      <c r="D9" s="15">
        <v>6.3042760790965081E-3</v>
      </c>
      <c r="E9" s="15">
        <v>1.2408404181197551E-2</v>
      </c>
      <c r="F9" s="15">
        <v>0.23542640763810288</v>
      </c>
      <c r="AP9" s="23" t="str">
        <f>A8</f>
        <v>Target.com</v>
      </c>
      <c r="AQ9" s="19">
        <f t="shared" si="0"/>
        <v>9.6337892927149532E-2</v>
      </c>
      <c r="AR9" s="19">
        <f t="shared" si="0"/>
        <v>6.7920115842382611E-2</v>
      </c>
      <c r="AS9" s="19">
        <f t="shared" si="0"/>
        <v>5.4979832664581261E-3</v>
      </c>
      <c r="AT9" s="20">
        <f t="shared" si="0"/>
        <v>1.2933041488102518E-2</v>
      </c>
    </row>
    <row r="10" spans="1:46" ht="15" thickTop="1" x14ac:dyDescent="0.35">
      <c r="A10" s="13" t="s">
        <v>2560</v>
      </c>
      <c r="B10" s="15">
        <v>0.52495717387974916</v>
      </c>
      <c r="C10" s="15">
        <v>0.3711684913156732</v>
      </c>
      <c r="D10" s="15">
        <v>2.6245886489133303E-2</v>
      </c>
      <c r="E10" s="15">
        <v>7.7628448315444312E-2</v>
      </c>
      <c r="F10" s="15">
        <v>1</v>
      </c>
      <c r="S10" s="12" t="s">
        <v>2559</v>
      </c>
      <c r="T10" t="s">
        <v>2548</v>
      </c>
      <c r="Z10" s="12" t="s">
        <v>10</v>
      </c>
      <c r="AA10" s="12" t="s">
        <v>11</v>
      </c>
      <c r="AB10" t="s">
        <v>2548</v>
      </c>
      <c r="AC10" t="s">
        <v>2549</v>
      </c>
      <c r="AE10" t="str">
        <f>Z10</f>
        <v>State</v>
      </c>
      <c r="AF10" t="str">
        <f>AA10</f>
        <v>County</v>
      </c>
      <c r="AG10" t="str">
        <f>AB10</f>
        <v>Sum of Quantity</v>
      </c>
      <c r="AJ10" t="str">
        <f>Z10</f>
        <v>State</v>
      </c>
      <c r="AK10" t="str">
        <f>AA10</f>
        <v>County</v>
      </c>
      <c r="AL10" t="str">
        <f>AC10</f>
        <v>Sum of Amount</v>
      </c>
      <c r="AP10" s="24" t="str">
        <f>A9</f>
        <v>Website</v>
      </c>
      <c r="AQ10" s="21">
        <f t="shared" si="0"/>
        <v>0.12522098709469262</v>
      </c>
      <c r="AR10" s="21">
        <f t="shared" si="0"/>
        <v>9.1492740283116228E-2</v>
      </c>
      <c r="AS10" s="21">
        <f t="shared" si="0"/>
        <v>6.3042760790965081E-3</v>
      </c>
      <c r="AT10" s="22">
        <f t="shared" si="0"/>
        <v>1.2408404181197551E-2</v>
      </c>
    </row>
    <row r="11" spans="1:46" x14ac:dyDescent="0.35">
      <c r="S11" s="13" t="s">
        <v>2557</v>
      </c>
      <c r="T11">
        <v>6272</v>
      </c>
      <c r="Z11" t="s">
        <v>19</v>
      </c>
      <c r="AA11" t="s">
        <v>115</v>
      </c>
      <c r="AB11" s="25">
        <v>579</v>
      </c>
      <c r="AC11" s="25">
        <v>31884.999999999996</v>
      </c>
      <c r="AE11" t="str">
        <f>IF(Z11="","",Z11)</f>
        <v>California</v>
      </c>
      <c r="AF11" t="str">
        <f t="shared" ref="AF11:AG11" si="1">IF(AA11="","",AA11)</f>
        <v>Alameda County</v>
      </c>
      <c r="AG11">
        <f t="shared" si="1"/>
        <v>579</v>
      </c>
      <c r="AJ11" t="str">
        <f>IF(Z11="","",Z11)</f>
        <v>California</v>
      </c>
      <c r="AK11" t="str">
        <f>IF(AA11="","",AA11)</f>
        <v>Alameda County</v>
      </c>
      <c r="AL11">
        <f t="shared" ref="AL11" si="2">IF(AC11="","",AC11)</f>
        <v>31884.999999999996</v>
      </c>
    </row>
    <row r="12" spans="1:46" x14ac:dyDescent="0.35">
      <c r="S12" s="13" t="s">
        <v>2556</v>
      </c>
      <c r="T12">
        <v>4672</v>
      </c>
      <c r="Z12" t="s">
        <v>19</v>
      </c>
      <c r="AA12" t="s">
        <v>20</v>
      </c>
      <c r="AB12" s="25">
        <v>1</v>
      </c>
      <c r="AC12" s="25">
        <v>10.9</v>
      </c>
      <c r="AE12" t="str">
        <f t="shared" ref="AE12:AE68" si="3">IF(Z12="","",Z12)</f>
        <v>California</v>
      </c>
      <c r="AF12" t="str">
        <f t="shared" ref="AF12:AF68" si="4">IF(AA12="","",AA12)</f>
        <v>Alpine County</v>
      </c>
      <c r="AG12">
        <f t="shared" ref="AG12:AG68" si="5">IF(AB12="","",AB12)</f>
        <v>1</v>
      </c>
      <c r="AJ12" t="str">
        <f t="shared" ref="AJ12:AJ68" si="6">IF(Z12="","",Z12)</f>
        <v>California</v>
      </c>
      <c r="AK12" t="str">
        <f t="shared" ref="AK12:AK68" si="7">IF(AA12="","",AA12)</f>
        <v>Alpine County</v>
      </c>
      <c r="AL12">
        <f t="shared" ref="AL12:AL68" si="8">IF(AC12="","",AC12)</f>
        <v>10.9</v>
      </c>
    </row>
    <row r="13" spans="1:46" x14ac:dyDescent="0.35">
      <c r="J13" s="12" t="s">
        <v>2548</v>
      </c>
      <c r="K13" s="12" t="s">
        <v>2561</v>
      </c>
      <c r="S13" s="13" t="s">
        <v>2558</v>
      </c>
      <c r="T13">
        <v>317</v>
      </c>
      <c r="Z13" t="s">
        <v>19</v>
      </c>
      <c r="AA13" t="s">
        <v>641</v>
      </c>
      <c r="AB13" s="25">
        <v>9</v>
      </c>
      <c r="AC13" s="25">
        <v>800.3</v>
      </c>
      <c r="AE13" t="str">
        <f t="shared" si="3"/>
        <v>California</v>
      </c>
      <c r="AF13" t="str">
        <f t="shared" si="4"/>
        <v>Amador County</v>
      </c>
      <c r="AG13">
        <f t="shared" si="5"/>
        <v>9</v>
      </c>
      <c r="AJ13" t="str">
        <f t="shared" si="6"/>
        <v>California</v>
      </c>
      <c r="AK13" t="str">
        <f t="shared" si="7"/>
        <v>Amador County</v>
      </c>
      <c r="AL13">
        <f t="shared" si="8"/>
        <v>800.3</v>
      </c>
    </row>
    <row r="14" spans="1:46" x14ac:dyDescent="0.35">
      <c r="J14" s="12" t="s">
        <v>2559</v>
      </c>
      <c r="K14" t="s">
        <v>2557</v>
      </c>
      <c r="L14" t="s">
        <v>2556</v>
      </c>
      <c r="M14" t="s">
        <v>2558</v>
      </c>
      <c r="N14" t="s">
        <v>2555</v>
      </c>
      <c r="O14" t="s">
        <v>2560</v>
      </c>
      <c r="S14" s="13" t="s">
        <v>2555</v>
      </c>
      <c r="T14">
        <v>736</v>
      </c>
      <c r="Z14" t="s">
        <v>19</v>
      </c>
      <c r="AA14" t="s">
        <v>967</v>
      </c>
      <c r="AB14" s="25">
        <v>35</v>
      </c>
      <c r="AC14" s="25">
        <v>1062.5999999999999</v>
      </c>
      <c r="AE14" t="str">
        <f t="shared" si="3"/>
        <v>California</v>
      </c>
      <c r="AF14" t="str">
        <f t="shared" si="4"/>
        <v>Butte County</v>
      </c>
      <c r="AG14">
        <f t="shared" si="5"/>
        <v>35</v>
      </c>
      <c r="AJ14" t="str">
        <f t="shared" si="6"/>
        <v>California</v>
      </c>
      <c r="AK14" t="str">
        <f t="shared" si="7"/>
        <v>Butte County</v>
      </c>
      <c r="AL14">
        <f t="shared" si="8"/>
        <v>1062.5999999999999</v>
      </c>
    </row>
    <row r="15" spans="1:46" x14ac:dyDescent="0.35">
      <c r="J15" s="13" t="s">
        <v>44</v>
      </c>
      <c r="K15">
        <v>744</v>
      </c>
      <c r="L15">
        <v>713</v>
      </c>
      <c r="M15">
        <v>90</v>
      </c>
      <c r="N15">
        <v>98</v>
      </c>
      <c r="O15">
        <v>1645</v>
      </c>
      <c r="S15" s="13" t="s">
        <v>2560</v>
      </c>
      <c r="T15">
        <v>11997</v>
      </c>
      <c r="Z15" t="s">
        <v>19</v>
      </c>
      <c r="AA15" t="s">
        <v>84</v>
      </c>
      <c r="AB15" s="25">
        <v>12</v>
      </c>
      <c r="AC15" s="25">
        <v>326.20000000000005</v>
      </c>
      <c r="AE15" t="str">
        <f t="shared" si="3"/>
        <v>California</v>
      </c>
      <c r="AF15" t="str">
        <f t="shared" si="4"/>
        <v>Calaveras County</v>
      </c>
      <c r="AG15">
        <f t="shared" si="5"/>
        <v>12</v>
      </c>
      <c r="AJ15" t="str">
        <f t="shared" si="6"/>
        <v>California</v>
      </c>
      <c r="AK15" t="str">
        <f t="shared" si="7"/>
        <v>Calaveras County</v>
      </c>
      <c r="AL15">
        <f t="shared" si="8"/>
        <v>326.20000000000005</v>
      </c>
    </row>
    <row r="16" spans="1:46" x14ac:dyDescent="0.35">
      <c r="B16" s="12" t="s">
        <v>2559</v>
      </c>
      <c r="C16" t="s">
        <v>2547</v>
      </c>
      <c r="J16" s="13" t="s">
        <v>39</v>
      </c>
      <c r="K16">
        <v>716</v>
      </c>
      <c r="L16">
        <v>598</v>
      </c>
      <c r="M16">
        <v>18</v>
      </c>
      <c r="N16">
        <v>214</v>
      </c>
      <c r="O16">
        <v>1546</v>
      </c>
      <c r="Z16" t="s">
        <v>19</v>
      </c>
      <c r="AA16" t="s">
        <v>1383</v>
      </c>
      <c r="AB16" s="25">
        <v>4</v>
      </c>
      <c r="AC16" s="25">
        <v>167.5</v>
      </c>
      <c r="AE16" t="str">
        <f t="shared" si="3"/>
        <v>California</v>
      </c>
      <c r="AF16" t="str">
        <f t="shared" si="4"/>
        <v>Colusa County</v>
      </c>
      <c r="AG16">
        <f t="shared" si="5"/>
        <v>4</v>
      </c>
      <c r="AJ16" t="str">
        <f t="shared" si="6"/>
        <v>California</v>
      </c>
      <c r="AK16" t="str">
        <f t="shared" si="7"/>
        <v>Colusa County</v>
      </c>
      <c r="AL16">
        <f t="shared" si="8"/>
        <v>167.5</v>
      </c>
    </row>
    <row r="17" spans="2:38" x14ac:dyDescent="0.35">
      <c r="B17" s="13">
        <v>1</v>
      </c>
      <c r="C17" s="25">
        <v>397</v>
      </c>
      <c r="J17" s="13" t="s">
        <v>26</v>
      </c>
      <c r="K17">
        <v>627</v>
      </c>
      <c r="L17">
        <v>393</v>
      </c>
      <c r="M17">
        <v>29</v>
      </c>
      <c r="N17">
        <v>137</v>
      </c>
      <c r="O17">
        <v>1186</v>
      </c>
      <c r="Z17" t="s">
        <v>19</v>
      </c>
      <c r="AA17" t="s">
        <v>24</v>
      </c>
      <c r="AB17" s="25">
        <v>341</v>
      </c>
      <c r="AC17" s="25">
        <v>16168.7</v>
      </c>
      <c r="AE17" t="str">
        <f t="shared" si="3"/>
        <v>California</v>
      </c>
      <c r="AF17" t="str">
        <f t="shared" si="4"/>
        <v>Contra Costa County</v>
      </c>
      <c r="AG17">
        <f t="shared" si="5"/>
        <v>341</v>
      </c>
      <c r="AJ17" t="str">
        <f t="shared" si="6"/>
        <v>California</v>
      </c>
      <c r="AK17" t="str">
        <f t="shared" si="7"/>
        <v>Contra Costa County</v>
      </c>
      <c r="AL17">
        <f t="shared" si="8"/>
        <v>16168.7</v>
      </c>
    </row>
    <row r="18" spans="2:38" x14ac:dyDescent="0.35">
      <c r="B18" s="13">
        <v>2</v>
      </c>
      <c r="C18" s="25">
        <v>540</v>
      </c>
      <c r="J18" s="13" t="s">
        <v>22</v>
      </c>
      <c r="K18">
        <v>568</v>
      </c>
      <c r="L18">
        <v>306</v>
      </c>
      <c r="M18">
        <v>22</v>
      </c>
      <c r="N18">
        <v>16</v>
      </c>
      <c r="O18">
        <v>912</v>
      </c>
      <c r="Z18" t="s">
        <v>19</v>
      </c>
      <c r="AA18" t="s">
        <v>2204</v>
      </c>
      <c r="AB18" s="25">
        <v>13</v>
      </c>
      <c r="AC18" s="25">
        <v>322.40000000000003</v>
      </c>
      <c r="AE18" t="str">
        <f t="shared" si="3"/>
        <v>California</v>
      </c>
      <c r="AF18" t="str">
        <f t="shared" si="4"/>
        <v>Del Norte County</v>
      </c>
      <c r="AG18">
        <f t="shared" si="5"/>
        <v>13</v>
      </c>
      <c r="AJ18" t="str">
        <f t="shared" si="6"/>
        <v>California</v>
      </c>
      <c r="AK18" t="str">
        <f t="shared" si="7"/>
        <v>Del Norte County</v>
      </c>
      <c r="AL18">
        <f t="shared" si="8"/>
        <v>322.40000000000003</v>
      </c>
    </row>
    <row r="19" spans="2:38" x14ac:dyDescent="0.35">
      <c r="B19" s="13">
        <v>3</v>
      </c>
      <c r="C19" s="25">
        <v>375</v>
      </c>
      <c r="J19" s="13" t="s">
        <v>54</v>
      </c>
      <c r="K19">
        <v>482</v>
      </c>
      <c r="L19">
        <v>295</v>
      </c>
      <c r="M19">
        <v>8</v>
      </c>
      <c r="N19">
        <v>22</v>
      </c>
      <c r="O19">
        <v>807</v>
      </c>
      <c r="Z19" t="s">
        <v>19</v>
      </c>
      <c r="AA19" t="s">
        <v>437</v>
      </c>
      <c r="AB19" s="25">
        <v>31</v>
      </c>
      <c r="AC19" s="25">
        <v>2092.8000000000002</v>
      </c>
      <c r="AE19" t="str">
        <f t="shared" si="3"/>
        <v>California</v>
      </c>
      <c r="AF19" t="str">
        <f t="shared" si="4"/>
        <v>El Dorado County</v>
      </c>
      <c r="AG19">
        <f t="shared" si="5"/>
        <v>31</v>
      </c>
      <c r="AJ19" t="str">
        <f t="shared" si="6"/>
        <v>California</v>
      </c>
      <c r="AK19" t="str">
        <f t="shared" si="7"/>
        <v>El Dorado County</v>
      </c>
      <c r="AL19">
        <f t="shared" si="8"/>
        <v>2092.8000000000002</v>
      </c>
    </row>
    <row r="20" spans="2:38" x14ac:dyDescent="0.35">
      <c r="B20" s="13">
        <v>4</v>
      </c>
      <c r="C20" s="25">
        <v>246</v>
      </c>
      <c r="J20" s="13" t="s">
        <v>16</v>
      </c>
      <c r="K20">
        <v>428</v>
      </c>
      <c r="L20">
        <v>293</v>
      </c>
      <c r="N20">
        <v>24</v>
      </c>
      <c r="O20">
        <v>745</v>
      </c>
      <c r="Z20" t="s">
        <v>19</v>
      </c>
      <c r="AA20" t="s">
        <v>28</v>
      </c>
      <c r="AB20" s="25">
        <v>279</v>
      </c>
      <c r="AC20" s="25">
        <v>12662.500000000002</v>
      </c>
      <c r="AE20" t="str">
        <f t="shared" si="3"/>
        <v>California</v>
      </c>
      <c r="AF20" t="str">
        <f t="shared" si="4"/>
        <v>Fresno County</v>
      </c>
      <c r="AG20">
        <f t="shared" si="5"/>
        <v>279</v>
      </c>
      <c r="AJ20" t="str">
        <f t="shared" si="6"/>
        <v>California</v>
      </c>
      <c r="AK20" t="str">
        <f t="shared" si="7"/>
        <v>Fresno County</v>
      </c>
      <c r="AL20">
        <f t="shared" si="8"/>
        <v>12662.500000000002</v>
      </c>
    </row>
    <row r="21" spans="2:38" x14ac:dyDescent="0.35">
      <c r="B21" s="13">
        <v>5</v>
      </c>
      <c r="C21" s="25">
        <v>195</v>
      </c>
      <c r="J21" s="13" t="s">
        <v>46</v>
      </c>
      <c r="K21">
        <v>445</v>
      </c>
      <c r="L21">
        <v>202</v>
      </c>
      <c r="M21">
        <v>14</v>
      </c>
      <c r="N21">
        <v>39</v>
      </c>
      <c r="O21">
        <v>700</v>
      </c>
      <c r="Z21" t="s">
        <v>19</v>
      </c>
      <c r="AA21" t="s">
        <v>208</v>
      </c>
      <c r="AB21" s="25">
        <v>9</v>
      </c>
      <c r="AC21" s="25">
        <v>343.2</v>
      </c>
      <c r="AE21" t="str">
        <f t="shared" si="3"/>
        <v>California</v>
      </c>
      <c r="AF21" t="str">
        <f t="shared" si="4"/>
        <v>Glenn County</v>
      </c>
      <c r="AG21">
        <f t="shared" si="5"/>
        <v>9</v>
      </c>
      <c r="AJ21" t="str">
        <f t="shared" si="6"/>
        <v>California</v>
      </c>
      <c r="AK21" t="str">
        <f t="shared" si="7"/>
        <v>Glenn County</v>
      </c>
      <c r="AL21">
        <f t="shared" si="8"/>
        <v>343.2</v>
      </c>
    </row>
    <row r="22" spans="2:38" x14ac:dyDescent="0.35">
      <c r="B22" s="13" t="s">
        <v>2562</v>
      </c>
      <c r="C22" s="25">
        <v>414</v>
      </c>
      <c r="J22" s="13" t="s">
        <v>32</v>
      </c>
      <c r="K22">
        <v>431</v>
      </c>
      <c r="L22">
        <v>187</v>
      </c>
      <c r="M22">
        <v>14</v>
      </c>
      <c r="N22">
        <v>15</v>
      </c>
      <c r="O22">
        <v>647</v>
      </c>
      <c r="Z22" t="s">
        <v>19</v>
      </c>
      <c r="AA22" t="s">
        <v>587</v>
      </c>
      <c r="AB22" s="25">
        <v>49</v>
      </c>
      <c r="AC22" s="25">
        <v>2188.2999999999997</v>
      </c>
      <c r="AE22" t="str">
        <f t="shared" si="3"/>
        <v>California</v>
      </c>
      <c r="AF22" t="str">
        <f t="shared" si="4"/>
        <v>Humboldt County</v>
      </c>
      <c r="AG22">
        <f t="shared" si="5"/>
        <v>49</v>
      </c>
      <c r="AJ22" t="str">
        <f t="shared" si="6"/>
        <v>California</v>
      </c>
      <c r="AK22" t="str">
        <f t="shared" si="7"/>
        <v>Humboldt County</v>
      </c>
      <c r="AL22">
        <f t="shared" si="8"/>
        <v>2188.2999999999997</v>
      </c>
    </row>
    <row r="23" spans="2:38" x14ac:dyDescent="0.35">
      <c r="B23" s="13" t="s">
        <v>2563</v>
      </c>
      <c r="C23" s="25">
        <v>233</v>
      </c>
      <c r="J23" s="13" t="s">
        <v>42</v>
      </c>
      <c r="K23">
        <v>264</v>
      </c>
      <c r="L23">
        <v>318</v>
      </c>
      <c r="M23">
        <v>15</v>
      </c>
      <c r="N23">
        <v>9</v>
      </c>
      <c r="O23">
        <v>606</v>
      </c>
      <c r="Z23" t="s">
        <v>19</v>
      </c>
      <c r="AA23" t="s">
        <v>331</v>
      </c>
      <c r="AB23" s="25">
        <v>59</v>
      </c>
      <c r="AC23" s="25">
        <v>2661.5999999999995</v>
      </c>
      <c r="AE23" t="str">
        <f t="shared" si="3"/>
        <v>California</v>
      </c>
      <c r="AF23" t="str">
        <f t="shared" si="4"/>
        <v>Imperial County</v>
      </c>
      <c r="AG23">
        <f t="shared" si="5"/>
        <v>59</v>
      </c>
      <c r="AJ23" t="str">
        <f t="shared" si="6"/>
        <v>California</v>
      </c>
      <c r="AK23" t="str">
        <f t="shared" si="7"/>
        <v>Imperial County</v>
      </c>
      <c r="AL23">
        <f t="shared" si="8"/>
        <v>2661.5999999999995</v>
      </c>
    </row>
    <row r="24" spans="2:38" x14ac:dyDescent="0.35">
      <c r="B24" s="13" t="s">
        <v>2560</v>
      </c>
      <c r="C24" s="25">
        <v>2400</v>
      </c>
      <c r="J24" s="13" t="s">
        <v>37</v>
      </c>
      <c r="K24">
        <v>296</v>
      </c>
      <c r="L24">
        <v>275</v>
      </c>
      <c r="M24">
        <v>9</v>
      </c>
      <c r="N24">
        <v>23</v>
      </c>
      <c r="O24">
        <v>603</v>
      </c>
      <c r="Z24" t="s">
        <v>19</v>
      </c>
      <c r="AA24" t="s">
        <v>86</v>
      </c>
      <c r="AB24" s="25">
        <v>8</v>
      </c>
      <c r="AC24" s="25">
        <v>887.5</v>
      </c>
      <c r="AE24" t="str">
        <f t="shared" si="3"/>
        <v>California</v>
      </c>
      <c r="AF24" t="str">
        <f t="shared" si="4"/>
        <v>Inyo County</v>
      </c>
      <c r="AG24">
        <f t="shared" si="5"/>
        <v>8</v>
      </c>
      <c r="AJ24" t="str">
        <f t="shared" si="6"/>
        <v>California</v>
      </c>
      <c r="AK24" t="str">
        <f t="shared" si="7"/>
        <v>Inyo County</v>
      </c>
      <c r="AL24">
        <f t="shared" si="8"/>
        <v>887.5</v>
      </c>
    </row>
    <row r="25" spans="2:38" x14ac:dyDescent="0.35">
      <c r="J25" s="13" t="s">
        <v>123</v>
      </c>
      <c r="K25">
        <v>153</v>
      </c>
      <c r="L25">
        <v>246</v>
      </c>
      <c r="M25">
        <v>30</v>
      </c>
      <c r="N25">
        <v>8</v>
      </c>
      <c r="O25">
        <v>437</v>
      </c>
      <c r="Z25" t="s">
        <v>19</v>
      </c>
      <c r="AA25" t="s">
        <v>147</v>
      </c>
      <c r="AB25" s="25">
        <v>222</v>
      </c>
      <c r="AC25" s="25">
        <v>11354.199999999993</v>
      </c>
      <c r="AE25" t="str">
        <f t="shared" si="3"/>
        <v>California</v>
      </c>
      <c r="AF25" t="str">
        <f t="shared" si="4"/>
        <v>Kern County</v>
      </c>
      <c r="AG25">
        <f t="shared" si="5"/>
        <v>222</v>
      </c>
      <c r="AJ25" t="str">
        <f t="shared" si="6"/>
        <v>California</v>
      </c>
      <c r="AK25" t="str">
        <f t="shared" si="7"/>
        <v>Kern County</v>
      </c>
      <c r="AL25">
        <f t="shared" si="8"/>
        <v>11354.199999999993</v>
      </c>
    </row>
    <row r="26" spans="2:38" x14ac:dyDescent="0.35">
      <c r="J26" s="13" t="s">
        <v>146</v>
      </c>
      <c r="K26">
        <v>189</v>
      </c>
      <c r="L26">
        <v>168</v>
      </c>
      <c r="M26">
        <v>10</v>
      </c>
      <c r="N26">
        <v>31</v>
      </c>
      <c r="O26">
        <v>398</v>
      </c>
      <c r="Z26" t="s">
        <v>19</v>
      </c>
      <c r="AA26" t="s">
        <v>334</v>
      </c>
      <c r="AB26" s="25">
        <v>36</v>
      </c>
      <c r="AC26" s="25">
        <v>1558.4</v>
      </c>
      <c r="AE26" t="str">
        <f t="shared" si="3"/>
        <v>California</v>
      </c>
      <c r="AF26" t="str">
        <f t="shared" si="4"/>
        <v>Kings County</v>
      </c>
      <c r="AG26">
        <f t="shared" si="5"/>
        <v>36</v>
      </c>
      <c r="AJ26" t="str">
        <f t="shared" si="6"/>
        <v>California</v>
      </c>
      <c r="AK26" t="str">
        <f t="shared" si="7"/>
        <v>Kings County</v>
      </c>
      <c r="AL26">
        <f t="shared" si="8"/>
        <v>1558.4</v>
      </c>
    </row>
    <row r="27" spans="2:38" x14ac:dyDescent="0.35">
      <c r="J27" s="13" t="s">
        <v>69</v>
      </c>
      <c r="K27">
        <v>234</v>
      </c>
      <c r="L27">
        <v>93</v>
      </c>
      <c r="M27">
        <v>19</v>
      </c>
      <c r="N27">
        <v>24</v>
      </c>
      <c r="O27">
        <v>370</v>
      </c>
      <c r="Z27" t="s">
        <v>19</v>
      </c>
      <c r="AA27" t="s">
        <v>949</v>
      </c>
      <c r="AB27" s="25">
        <v>30</v>
      </c>
      <c r="AC27" s="25">
        <v>2223.9</v>
      </c>
      <c r="AE27" t="str">
        <f t="shared" si="3"/>
        <v>California</v>
      </c>
      <c r="AF27" t="str">
        <f t="shared" si="4"/>
        <v>Lake County</v>
      </c>
      <c r="AG27">
        <f t="shared" si="5"/>
        <v>30</v>
      </c>
      <c r="AJ27" t="str">
        <f t="shared" si="6"/>
        <v>California</v>
      </c>
      <c r="AK27" t="str">
        <f t="shared" si="7"/>
        <v>Lake County</v>
      </c>
      <c r="AL27">
        <f t="shared" si="8"/>
        <v>2223.9</v>
      </c>
    </row>
    <row r="28" spans="2:38" x14ac:dyDescent="0.35">
      <c r="J28" s="13" t="s">
        <v>30</v>
      </c>
      <c r="K28">
        <v>146</v>
      </c>
      <c r="L28">
        <v>94</v>
      </c>
      <c r="M28">
        <v>4</v>
      </c>
      <c r="N28">
        <v>28</v>
      </c>
      <c r="O28">
        <v>272</v>
      </c>
      <c r="Z28" t="s">
        <v>19</v>
      </c>
      <c r="AA28" t="s">
        <v>1426</v>
      </c>
      <c r="AB28" s="25">
        <v>1</v>
      </c>
      <c r="AC28" s="25">
        <v>26.2</v>
      </c>
      <c r="AE28" t="str">
        <f t="shared" si="3"/>
        <v>California</v>
      </c>
      <c r="AF28" t="str">
        <f t="shared" si="4"/>
        <v>Lassen County</v>
      </c>
      <c r="AG28">
        <f t="shared" si="5"/>
        <v>1</v>
      </c>
      <c r="AJ28" t="str">
        <f t="shared" si="6"/>
        <v>California</v>
      </c>
      <c r="AK28" t="str">
        <f t="shared" si="7"/>
        <v>Lassen County</v>
      </c>
      <c r="AL28">
        <f t="shared" si="8"/>
        <v>26.2</v>
      </c>
    </row>
    <row r="29" spans="2:38" x14ac:dyDescent="0.35">
      <c r="J29" s="13" t="s">
        <v>135</v>
      </c>
      <c r="K29">
        <v>127</v>
      </c>
      <c r="L29">
        <v>118</v>
      </c>
      <c r="M29">
        <v>13</v>
      </c>
      <c r="N29">
        <v>12</v>
      </c>
      <c r="O29">
        <v>270</v>
      </c>
      <c r="Z29" t="s">
        <v>19</v>
      </c>
      <c r="AA29" t="s">
        <v>33</v>
      </c>
      <c r="AB29" s="25">
        <v>3991</v>
      </c>
      <c r="AC29" s="25">
        <v>215551.19999999981</v>
      </c>
      <c r="AE29" t="str">
        <f t="shared" si="3"/>
        <v>California</v>
      </c>
      <c r="AF29" t="str">
        <f t="shared" si="4"/>
        <v>Los Angeles County</v>
      </c>
      <c r="AG29">
        <f t="shared" si="5"/>
        <v>3991</v>
      </c>
      <c r="AJ29" t="str">
        <f t="shared" si="6"/>
        <v>California</v>
      </c>
      <c r="AK29" t="str">
        <f t="shared" si="7"/>
        <v>Los Angeles County</v>
      </c>
      <c r="AL29">
        <f t="shared" si="8"/>
        <v>215551.19999999981</v>
      </c>
    </row>
    <row r="30" spans="2:38" x14ac:dyDescent="0.35">
      <c r="J30" s="13" t="s">
        <v>67</v>
      </c>
      <c r="K30">
        <v>179</v>
      </c>
      <c r="L30">
        <v>76</v>
      </c>
      <c r="M30">
        <v>3</v>
      </c>
      <c r="O30">
        <v>258</v>
      </c>
      <c r="Z30" t="s">
        <v>19</v>
      </c>
      <c r="AA30" t="s">
        <v>364</v>
      </c>
      <c r="AB30" s="25">
        <v>45</v>
      </c>
      <c r="AC30" s="25">
        <v>2687.3999999999996</v>
      </c>
      <c r="AE30" t="str">
        <f t="shared" si="3"/>
        <v>California</v>
      </c>
      <c r="AF30" t="str">
        <f t="shared" si="4"/>
        <v>Madera County</v>
      </c>
      <c r="AG30">
        <f t="shared" si="5"/>
        <v>45</v>
      </c>
      <c r="AJ30" t="str">
        <f t="shared" si="6"/>
        <v>California</v>
      </c>
      <c r="AK30" t="str">
        <f t="shared" si="7"/>
        <v>Madera County</v>
      </c>
      <c r="AL30">
        <f t="shared" si="8"/>
        <v>2687.3999999999996</v>
      </c>
    </row>
    <row r="31" spans="2:38" x14ac:dyDescent="0.35">
      <c r="J31" s="13" t="s">
        <v>128</v>
      </c>
      <c r="K31">
        <v>99</v>
      </c>
      <c r="L31">
        <v>69</v>
      </c>
      <c r="M31">
        <v>3</v>
      </c>
      <c r="N31">
        <v>24</v>
      </c>
      <c r="O31">
        <v>195</v>
      </c>
      <c r="Z31" t="s">
        <v>19</v>
      </c>
      <c r="AA31" t="s">
        <v>545</v>
      </c>
      <c r="AB31" s="25">
        <v>39</v>
      </c>
      <c r="AC31" s="25">
        <v>1463.3000000000002</v>
      </c>
      <c r="AE31" t="str">
        <f t="shared" si="3"/>
        <v>California</v>
      </c>
      <c r="AF31" t="str">
        <f t="shared" si="4"/>
        <v>Marin County</v>
      </c>
      <c r="AG31">
        <f t="shared" si="5"/>
        <v>39</v>
      </c>
      <c r="AJ31" t="str">
        <f t="shared" si="6"/>
        <v>California</v>
      </c>
      <c r="AK31" t="str">
        <f t="shared" si="7"/>
        <v>Marin County</v>
      </c>
      <c r="AL31">
        <f t="shared" si="8"/>
        <v>1463.3000000000002</v>
      </c>
    </row>
    <row r="32" spans="2:38" x14ac:dyDescent="0.35">
      <c r="J32" s="13" t="s">
        <v>76</v>
      </c>
      <c r="K32">
        <v>75</v>
      </c>
      <c r="L32">
        <v>103</v>
      </c>
      <c r="M32">
        <v>4</v>
      </c>
      <c r="N32">
        <v>6</v>
      </c>
      <c r="O32">
        <v>188</v>
      </c>
      <c r="Z32" t="s">
        <v>19</v>
      </c>
      <c r="AA32" t="s">
        <v>416</v>
      </c>
      <c r="AB32" s="25">
        <v>6</v>
      </c>
      <c r="AC32" s="25">
        <v>445.79999999999995</v>
      </c>
      <c r="AE32" t="str">
        <f t="shared" si="3"/>
        <v>California</v>
      </c>
      <c r="AF32" t="str">
        <f t="shared" si="4"/>
        <v>Mariposa County</v>
      </c>
      <c r="AG32">
        <f t="shared" si="5"/>
        <v>6</v>
      </c>
      <c r="AJ32" t="str">
        <f t="shared" si="6"/>
        <v>California</v>
      </c>
      <c r="AK32" t="str">
        <f t="shared" si="7"/>
        <v>Mariposa County</v>
      </c>
      <c r="AL32">
        <f t="shared" si="8"/>
        <v>445.79999999999995</v>
      </c>
    </row>
    <row r="33" spans="1:38" x14ac:dyDescent="0.35">
      <c r="J33" s="13" t="s">
        <v>81</v>
      </c>
      <c r="K33">
        <v>43</v>
      </c>
      <c r="L33">
        <v>90</v>
      </c>
      <c r="M33">
        <v>8</v>
      </c>
      <c r="N33">
        <v>6</v>
      </c>
      <c r="O33">
        <v>147</v>
      </c>
      <c r="Z33" t="s">
        <v>19</v>
      </c>
      <c r="AA33" t="s">
        <v>258</v>
      </c>
      <c r="AB33" s="25">
        <v>9</v>
      </c>
      <c r="AC33" s="25">
        <v>273.59999999999997</v>
      </c>
      <c r="AE33" t="str">
        <f t="shared" si="3"/>
        <v>California</v>
      </c>
      <c r="AF33" t="str">
        <f t="shared" si="4"/>
        <v>Mendocino County</v>
      </c>
      <c r="AG33">
        <f t="shared" si="5"/>
        <v>9</v>
      </c>
      <c r="AJ33" t="str">
        <f t="shared" si="6"/>
        <v>California</v>
      </c>
      <c r="AK33" t="str">
        <f t="shared" si="7"/>
        <v>Mendocino County</v>
      </c>
      <c r="AL33">
        <f t="shared" si="8"/>
        <v>273.59999999999997</v>
      </c>
    </row>
    <row r="34" spans="1:38" x14ac:dyDescent="0.35">
      <c r="J34" s="13" t="s">
        <v>171</v>
      </c>
      <c r="K34">
        <v>26</v>
      </c>
      <c r="L34">
        <v>35</v>
      </c>
      <c r="M34">
        <v>4</v>
      </c>
      <c r="O34">
        <v>65</v>
      </c>
      <c r="Z34" t="s">
        <v>19</v>
      </c>
      <c r="AA34" t="s">
        <v>186</v>
      </c>
      <c r="AB34" s="25">
        <v>60</v>
      </c>
      <c r="AC34" s="25">
        <v>2690.4</v>
      </c>
      <c r="AE34" t="str">
        <f t="shared" si="3"/>
        <v>California</v>
      </c>
      <c r="AF34" t="str">
        <f t="shared" si="4"/>
        <v>Merced County</v>
      </c>
      <c r="AG34">
        <f t="shared" si="5"/>
        <v>60</v>
      </c>
      <c r="AJ34" t="str">
        <f t="shared" si="6"/>
        <v>California</v>
      </c>
      <c r="AK34" t="str">
        <f t="shared" si="7"/>
        <v>Merced County</v>
      </c>
      <c r="AL34">
        <f t="shared" si="8"/>
        <v>2690.4</v>
      </c>
    </row>
    <row r="35" spans="1:38" x14ac:dyDescent="0.35">
      <c r="J35" s="13" t="s">
        <v>2560</v>
      </c>
      <c r="K35">
        <v>6272</v>
      </c>
      <c r="L35">
        <v>4672</v>
      </c>
      <c r="M35">
        <v>317</v>
      </c>
      <c r="N35">
        <v>736</v>
      </c>
      <c r="O35">
        <v>11997</v>
      </c>
      <c r="Z35" t="s">
        <v>19</v>
      </c>
      <c r="AA35" t="s">
        <v>392</v>
      </c>
      <c r="AB35" s="25">
        <v>2</v>
      </c>
      <c r="AC35" s="25">
        <v>28.4</v>
      </c>
      <c r="AE35" t="str">
        <f t="shared" si="3"/>
        <v>California</v>
      </c>
      <c r="AF35" t="str">
        <f t="shared" si="4"/>
        <v>Modoc County</v>
      </c>
      <c r="AG35">
        <f t="shared" si="5"/>
        <v>2</v>
      </c>
      <c r="AJ35" t="str">
        <f t="shared" si="6"/>
        <v>California</v>
      </c>
      <c r="AK35" t="str">
        <f t="shared" si="7"/>
        <v>Modoc County</v>
      </c>
      <c r="AL35">
        <f t="shared" si="8"/>
        <v>28.4</v>
      </c>
    </row>
    <row r="36" spans="1:38" x14ac:dyDescent="0.35">
      <c r="Z36" t="s">
        <v>19</v>
      </c>
      <c r="AA36" t="s">
        <v>670</v>
      </c>
      <c r="AB36" s="25">
        <v>4</v>
      </c>
      <c r="AC36" s="25">
        <v>204.8</v>
      </c>
      <c r="AE36" t="str">
        <f t="shared" si="3"/>
        <v>California</v>
      </c>
      <c r="AF36" t="str">
        <f t="shared" si="4"/>
        <v>Mono County</v>
      </c>
      <c r="AG36">
        <f t="shared" si="5"/>
        <v>4</v>
      </c>
      <c r="AJ36" t="str">
        <f t="shared" si="6"/>
        <v>California</v>
      </c>
      <c r="AK36" t="str">
        <f t="shared" si="7"/>
        <v>Mono County</v>
      </c>
      <c r="AL36">
        <f t="shared" si="8"/>
        <v>204.8</v>
      </c>
    </row>
    <row r="37" spans="1:38" x14ac:dyDescent="0.35">
      <c r="Z37" t="s">
        <v>19</v>
      </c>
      <c r="AA37" t="s">
        <v>802</v>
      </c>
      <c r="AB37" s="25">
        <v>31</v>
      </c>
      <c r="AC37" s="25">
        <v>1607.8999999999999</v>
      </c>
      <c r="AE37" t="str">
        <f t="shared" si="3"/>
        <v>California</v>
      </c>
      <c r="AF37" t="str">
        <f t="shared" si="4"/>
        <v>Monterey County</v>
      </c>
      <c r="AG37">
        <f t="shared" si="5"/>
        <v>31</v>
      </c>
      <c r="AJ37" t="str">
        <f t="shared" si="6"/>
        <v>California</v>
      </c>
      <c r="AK37" t="str">
        <f t="shared" si="7"/>
        <v>Monterey County</v>
      </c>
      <c r="AL37">
        <f t="shared" si="8"/>
        <v>1607.8999999999999</v>
      </c>
    </row>
    <row r="38" spans="1:38" x14ac:dyDescent="0.35">
      <c r="A38" s="12" t="s">
        <v>2559</v>
      </c>
      <c r="B38" t="s">
        <v>2547</v>
      </c>
      <c r="D38" s="12" t="s">
        <v>2547</v>
      </c>
      <c r="E38" s="12" t="s">
        <v>2561</v>
      </c>
      <c r="Z38" t="s">
        <v>19</v>
      </c>
      <c r="AA38" t="s">
        <v>98</v>
      </c>
      <c r="AB38" s="25">
        <v>88</v>
      </c>
      <c r="AC38" s="25">
        <v>6444.9</v>
      </c>
      <c r="AE38" t="str">
        <f t="shared" si="3"/>
        <v>California</v>
      </c>
      <c r="AF38" t="str">
        <f t="shared" si="4"/>
        <v>Napa County</v>
      </c>
      <c r="AG38">
        <f t="shared" si="5"/>
        <v>88</v>
      </c>
      <c r="AJ38" t="str">
        <f t="shared" si="6"/>
        <v>California</v>
      </c>
      <c r="AK38" t="str">
        <f t="shared" si="7"/>
        <v>Napa County</v>
      </c>
      <c r="AL38">
        <f t="shared" si="8"/>
        <v>6444.9</v>
      </c>
    </row>
    <row r="39" spans="1:38" x14ac:dyDescent="0.35">
      <c r="A39" s="13">
        <v>0</v>
      </c>
      <c r="B39" s="25">
        <v>175</v>
      </c>
      <c r="D39" s="12" t="s">
        <v>2559</v>
      </c>
      <c r="E39">
        <v>1</v>
      </c>
      <c r="F39">
        <v>2</v>
      </c>
      <c r="G39">
        <v>3</v>
      </c>
      <c r="H39">
        <v>4</v>
      </c>
      <c r="I39">
        <v>5</v>
      </c>
      <c r="J39" t="s">
        <v>2560</v>
      </c>
      <c r="Z39" t="s">
        <v>19</v>
      </c>
      <c r="AA39" t="s">
        <v>49</v>
      </c>
      <c r="AB39" s="25">
        <v>25</v>
      </c>
      <c r="AC39" s="25">
        <v>1809.3</v>
      </c>
      <c r="AE39" t="str">
        <f t="shared" si="3"/>
        <v>California</v>
      </c>
      <c r="AF39" t="str">
        <f t="shared" si="4"/>
        <v>Nevada County</v>
      </c>
      <c r="AG39">
        <f t="shared" si="5"/>
        <v>25</v>
      </c>
      <c r="AJ39" t="str">
        <f t="shared" si="6"/>
        <v>California</v>
      </c>
      <c r="AK39" t="str">
        <f t="shared" si="7"/>
        <v>Nevada County</v>
      </c>
      <c r="AL39">
        <f t="shared" si="8"/>
        <v>1809.3</v>
      </c>
    </row>
    <row r="40" spans="1:38" x14ac:dyDescent="0.35">
      <c r="A40" s="13">
        <v>1</v>
      </c>
      <c r="B40" s="25">
        <v>888</v>
      </c>
      <c r="D40" s="13" t="s">
        <v>2564</v>
      </c>
      <c r="E40" s="25">
        <v>7</v>
      </c>
      <c r="F40" s="25">
        <v>37</v>
      </c>
      <c r="G40" s="25">
        <v>150</v>
      </c>
      <c r="H40" s="25">
        <v>312</v>
      </c>
      <c r="I40" s="25">
        <v>224</v>
      </c>
      <c r="J40" s="25">
        <v>730</v>
      </c>
      <c r="Z40" t="s">
        <v>19</v>
      </c>
      <c r="AA40" t="s">
        <v>188</v>
      </c>
      <c r="AB40" s="25">
        <v>178</v>
      </c>
      <c r="AC40" s="25">
        <v>9680.399999999996</v>
      </c>
      <c r="AE40" t="str">
        <f t="shared" si="3"/>
        <v>California</v>
      </c>
      <c r="AF40" t="str">
        <f t="shared" si="4"/>
        <v>Orange County</v>
      </c>
      <c r="AG40">
        <f t="shared" si="5"/>
        <v>178</v>
      </c>
      <c r="AJ40" t="str">
        <f t="shared" si="6"/>
        <v>California</v>
      </c>
      <c r="AK40" t="str">
        <f t="shared" si="7"/>
        <v>Orange County</v>
      </c>
      <c r="AL40">
        <f t="shared" si="8"/>
        <v>9680.399999999996</v>
      </c>
    </row>
    <row r="41" spans="1:38" x14ac:dyDescent="0.35">
      <c r="A41" s="13">
        <v>2</v>
      </c>
      <c r="B41" s="25">
        <v>538</v>
      </c>
      <c r="D41" s="13" t="s">
        <v>2565</v>
      </c>
      <c r="E41" s="25">
        <v>8</v>
      </c>
      <c r="F41" s="25">
        <v>51</v>
      </c>
      <c r="G41" s="25">
        <v>182</v>
      </c>
      <c r="H41" s="25">
        <v>373</v>
      </c>
      <c r="I41" s="25">
        <v>247</v>
      </c>
      <c r="J41" s="25">
        <v>861</v>
      </c>
      <c r="Z41" t="s">
        <v>19</v>
      </c>
      <c r="AA41" t="s">
        <v>52</v>
      </c>
      <c r="AB41" s="25">
        <v>141</v>
      </c>
      <c r="AC41" s="25">
        <v>9414.7999999999993</v>
      </c>
      <c r="AE41" t="str">
        <f t="shared" si="3"/>
        <v>California</v>
      </c>
      <c r="AF41" t="str">
        <f t="shared" si="4"/>
        <v>Placer County</v>
      </c>
      <c r="AG41">
        <f t="shared" si="5"/>
        <v>141</v>
      </c>
      <c r="AJ41" t="str">
        <f t="shared" si="6"/>
        <v>California</v>
      </c>
      <c r="AK41" t="str">
        <f t="shared" si="7"/>
        <v>Placer County</v>
      </c>
      <c r="AL41">
        <f t="shared" si="8"/>
        <v>9414.7999999999993</v>
      </c>
    </row>
    <row r="42" spans="1:38" x14ac:dyDescent="0.35">
      <c r="A42" s="13">
        <v>3</v>
      </c>
      <c r="B42" s="25">
        <v>344</v>
      </c>
      <c r="D42" s="13" t="s">
        <v>2566</v>
      </c>
      <c r="E42" s="25">
        <v>6</v>
      </c>
      <c r="F42" s="25">
        <v>39</v>
      </c>
      <c r="G42" s="25">
        <v>163</v>
      </c>
      <c r="H42" s="25">
        <v>351</v>
      </c>
      <c r="I42" s="25">
        <v>250</v>
      </c>
      <c r="J42" s="25">
        <v>809</v>
      </c>
      <c r="Z42" t="s">
        <v>19</v>
      </c>
      <c r="AA42" t="s">
        <v>338</v>
      </c>
      <c r="AB42" s="25">
        <v>6</v>
      </c>
      <c r="AC42" s="25">
        <v>206.1</v>
      </c>
      <c r="AE42" t="str">
        <f t="shared" si="3"/>
        <v>California</v>
      </c>
      <c r="AF42" t="str">
        <f t="shared" si="4"/>
        <v>Plumas County</v>
      </c>
      <c r="AG42">
        <f t="shared" si="5"/>
        <v>6</v>
      </c>
      <c r="AJ42" t="str">
        <f t="shared" si="6"/>
        <v>California</v>
      </c>
      <c r="AK42" t="str">
        <f t="shared" si="7"/>
        <v>Plumas County</v>
      </c>
      <c r="AL42">
        <f t="shared" si="8"/>
        <v>206.1</v>
      </c>
    </row>
    <row r="43" spans="1:38" x14ac:dyDescent="0.35">
      <c r="A43" s="13">
        <v>4</v>
      </c>
      <c r="B43" s="25">
        <v>200</v>
      </c>
      <c r="D43" s="13" t="s">
        <v>2560</v>
      </c>
      <c r="E43" s="25">
        <v>21</v>
      </c>
      <c r="F43" s="25">
        <v>127</v>
      </c>
      <c r="G43" s="25">
        <v>495</v>
      </c>
      <c r="H43" s="25">
        <v>1036</v>
      </c>
      <c r="I43" s="25">
        <v>721</v>
      </c>
      <c r="J43" s="25">
        <v>2400</v>
      </c>
      <c r="Z43" t="s">
        <v>19</v>
      </c>
      <c r="AA43" t="s">
        <v>158</v>
      </c>
      <c r="AB43" s="25">
        <v>178</v>
      </c>
      <c r="AC43" s="25">
        <v>7691.3</v>
      </c>
      <c r="AE43" t="str">
        <f t="shared" si="3"/>
        <v>California</v>
      </c>
      <c r="AF43" t="str">
        <f t="shared" si="4"/>
        <v>Riverside County</v>
      </c>
      <c r="AG43">
        <f t="shared" si="5"/>
        <v>178</v>
      </c>
      <c r="AJ43" t="str">
        <f t="shared" si="6"/>
        <v>California</v>
      </c>
      <c r="AK43" t="str">
        <f t="shared" si="7"/>
        <v>Riverside County</v>
      </c>
      <c r="AL43">
        <f t="shared" si="8"/>
        <v>7691.3</v>
      </c>
    </row>
    <row r="44" spans="1:38" x14ac:dyDescent="0.35">
      <c r="A44" s="13">
        <v>5</v>
      </c>
      <c r="B44" s="25">
        <v>94</v>
      </c>
      <c r="Z44" t="s">
        <v>19</v>
      </c>
      <c r="AA44" t="s">
        <v>55</v>
      </c>
      <c r="AB44" s="25">
        <v>699</v>
      </c>
      <c r="AC44" s="25">
        <v>37784.900000000016</v>
      </c>
      <c r="AE44" t="str">
        <f t="shared" si="3"/>
        <v>California</v>
      </c>
      <c r="AF44" t="str">
        <f t="shared" si="4"/>
        <v>Sacramento County</v>
      </c>
      <c r="AG44">
        <f t="shared" si="5"/>
        <v>699</v>
      </c>
      <c r="AJ44" t="str">
        <f t="shared" si="6"/>
        <v>California</v>
      </c>
      <c r="AK44" t="str">
        <f t="shared" si="7"/>
        <v>Sacramento County</v>
      </c>
      <c r="AL44">
        <f t="shared" si="8"/>
        <v>37784.900000000016</v>
      </c>
    </row>
    <row r="45" spans="1:38" x14ac:dyDescent="0.35">
      <c r="A45" s="13">
        <v>6</v>
      </c>
      <c r="B45" s="25">
        <v>51</v>
      </c>
      <c r="Z45" t="s">
        <v>19</v>
      </c>
      <c r="AA45" t="s">
        <v>342</v>
      </c>
      <c r="AB45" s="25">
        <v>23</v>
      </c>
      <c r="AC45" s="25">
        <v>1129.7</v>
      </c>
      <c r="AE45" t="str">
        <f t="shared" si="3"/>
        <v>California</v>
      </c>
      <c r="AF45" t="str">
        <f t="shared" si="4"/>
        <v>San Benito County</v>
      </c>
      <c r="AG45">
        <f t="shared" si="5"/>
        <v>23</v>
      </c>
      <c r="AJ45" t="str">
        <f t="shared" si="6"/>
        <v>California</v>
      </c>
      <c r="AK45" t="str">
        <f t="shared" si="7"/>
        <v>San Benito County</v>
      </c>
      <c r="AL45">
        <f t="shared" si="8"/>
        <v>1129.7</v>
      </c>
    </row>
    <row r="46" spans="1:38" x14ac:dyDescent="0.35">
      <c r="A46" s="13">
        <v>7</v>
      </c>
      <c r="B46" s="25">
        <v>32</v>
      </c>
      <c r="Z46" t="s">
        <v>19</v>
      </c>
      <c r="AA46" t="s">
        <v>59</v>
      </c>
      <c r="AB46" s="25">
        <v>356</v>
      </c>
      <c r="AC46" s="25">
        <v>20988.9</v>
      </c>
      <c r="AE46" t="str">
        <f t="shared" si="3"/>
        <v>California</v>
      </c>
      <c r="AF46" t="str">
        <f t="shared" si="4"/>
        <v>San Bernardino County</v>
      </c>
      <c r="AG46">
        <f t="shared" si="5"/>
        <v>356</v>
      </c>
      <c r="AJ46" t="str">
        <f t="shared" si="6"/>
        <v>California</v>
      </c>
      <c r="AK46" t="str">
        <f t="shared" si="7"/>
        <v>San Bernardino County</v>
      </c>
      <c r="AL46">
        <f t="shared" si="8"/>
        <v>20988.9</v>
      </c>
    </row>
    <row r="47" spans="1:38" x14ac:dyDescent="0.35">
      <c r="A47" s="13">
        <v>8</v>
      </c>
      <c r="B47" s="25">
        <v>23</v>
      </c>
      <c r="Z47" t="s">
        <v>19</v>
      </c>
      <c r="AA47" t="s">
        <v>62</v>
      </c>
      <c r="AB47" s="25">
        <v>1768</v>
      </c>
      <c r="AC47" s="25">
        <v>98367.099999999977</v>
      </c>
      <c r="AE47" t="str">
        <f t="shared" si="3"/>
        <v>California</v>
      </c>
      <c r="AF47" t="str">
        <f t="shared" si="4"/>
        <v>San Diego County</v>
      </c>
      <c r="AG47">
        <f t="shared" si="5"/>
        <v>1768</v>
      </c>
      <c r="AJ47" t="str">
        <f t="shared" si="6"/>
        <v>California</v>
      </c>
      <c r="AK47" t="str">
        <f t="shared" si="7"/>
        <v>San Diego County</v>
      </c>
      <c r="AL47">
        <f t="shared" si="8"/>
        <v>98367.099999999977</v>
      </c>
    </row>
    <row r="48" spans="1:38" x14ac:dyDescent="0.35">
      <c r="A48" s="13">
        <v>9</v>
      </c>
      <c r="B48" s="25">
        <v>9</v>
      </c>
      <c r="Z48" t="s">
        <v>19</v>
      </c>
      <c r="AA48" t="s">
        <v>103</v>
      </c>
      <c r="AB48" s="25">
        <v>307</v>
      </c>
      <c r="AC48" s="25">
        <v>21911.9</v>
      </c>
      <c r="AE48" t="str">
        <f t="shared" si="3"/>
        <v>California</v>
      </c>
      <c r="AF48" t="str">
        <f t="shared" si="4"/>
        <v>San Francisco</v>
      </c>
      <c r="AG48">
        <f t="shared" si="5"/>
        <v>307</v>
      </c>
      <c r="AJ48" t="str">
        <f t="shared" si="6"/>
        <v>California</v>
      </c>
      <c r="AK48" t="str">
        <f t="shared" si="7"/>
        <v>San Francisco</v>
      </c>
      <c r="AL48">
        <f t="shared" si="8"/>
        <v>21911.9</v>
      </c>
    </row>
    <row r="49" spans="1:38" x14ac:dyDescent="0.35">
      <c r="A49" s="13">
        <v>10</v>
      </c>
      <c r="B49" s="25">
        <v>8</v>
      </c>
      <c r="Z49" t="s">
        <v>19</v>
      </c>
      <c r="AA49" t="s">
        <v>201</v>
      </c>
      <c r="AB49" s="25">
        <v>117</v>
      </c>
      <c r="AC49" s="25">
        <v>5441.2</v>
      </c>
      <c r="AE49" t="str">
        <f t="shared" si="3"/>
        <v>California</v>
      </c>
      <c r="AF49" t="str">
        <f t="shared" si="4"/>
        <v>San Joaquin County</v>
      </c>
      <c r="AG49">
        <f t="shared" si="5"/>
        <v>117</v>
      </c>
      <c r="AJ49" t="str">
        <f t="shared" si="6"/>
        <v>California</v>
      </c>
      <c r="AK49" t="str">
        <f t="shared" si="7"/>
        <v>San Joaquin County</v>
      </c>
      <c r="AL49">
        <f t="shared" si="8"/>
        <v>5441.2</v>
      </c>
    </row>
    <row r="50" spans="1:38" x14ac:dyDescent="0.35">
      <c r="A50" s="13">
        <v>11</v>
      </c>
      <c r="B50" s="25">
        <v>11</v>
      </c>
      <c r="Z50" t="s">
        <v>19</v>
      </c>
      <c r="AA50" t="s">
        <v>429</v>
      </c>
      <c r="AB50" s="25">
        <v>13</v>
      </c>
      <c r="AC50" s="25">
        <v>392.8</v>
      </c>
      <c r="AE50" t="str">
        <f t="shared" si="3"/>
        <v>California</v>
      </c>
      <c r="AF50" t="str">
        <f t="shared" si="4"/>
        <v>San Luis Obispo County</v>
      </c>
      <c r="AG50">
        <f t="shared" si="5"/>
        <v>13</v>
      </c>
      <c r="AJ50" t="str">
        <f t="shared" si="6"/>
        <v>California</v>
      </c>
      <c r="AK50" t="str">
        <f t="shared" si="7"/>
        <v>San Luis Obispo County</v>
      </c>
      <c r="AL50">
        <f t="shared" si="8"/>
        <v>392.8</v>
      </c>
    </row>
    <row r="51" spans="1:38" x14ac:dyDescent="0.35">
      <c r="A51" s="13">
        <v>12</v>
      </c>
      <c r="B51" s="25">
        <v>4</v>
      </c>
      <c r="Z51" t="s">
        <v>19</v>
      </c>
      <c r="AA51" t="s">
        <v>72</v>
      </c>
      <c r="AB51" s="25">
        <v>364</v>
      </c>
      <c r="AC51" s="25">
        <v>16172.000000000005</v>
      </c>
      <c r="AE51" t="str">
        <f t="shared" si="3"/>
        <v>California</v>
      </c>
      <c r="AF51" t="str">
        <f t="shared" si="4"/>
        <v>San Mateo County</v>
      </c>
      <c r="AG51">
        <f t="shared" si="5"/>
        <v>364</v>
      </c>
      <c r="AJ51" t="str">
        <f t="shared" si="6"/>
        <v>California</v>
      </c>
      <c r="AK51" t="str">
        <f t="shared" si="7"/>
        <v>San Mateo County</v>
      </c>
      <c r="AL51">
        <f t="shared" si="8"/>
        <v>16172.000000000005</v>
      </c>
    </row>
    <row r="52" spans="1:38" x14ac:dyDescent="0.35">
      <c r="A52" s="13">
        <v>13</v>
      </c>
      <c r="B52" s="25">
        <v>10</v>
      </c>
      <c r="Z52" t="s">
        <v>19</v>
      </c>
      <c r="AA52" t="s">
        <v>74</v>
      </c>
      <c r="AB52" s="25">
        <v>95</v>
      </c>
      <c r="AC52" s="25">
        <v>4334.9999999999991</v>
      </c>
      <c r="AE52" t="str">
        <f t="shared" si="3"/>
        <v>California</v>
      </c>
      <c r="AF52" t="str">
        <f t="shared" si="4"/>
        <v>Santa Barbara County</v>
      </c>
      <c r="AG52">
        <f t="shared" si="5"/>
        <v>95</v>
      </c>
      <c r="AJ52" t="str">
        <f t="shared" si="6"/>
        <v>California</v>
      </c>
      <c r="AK52" t="str">
        <f t="shared" si="7"/>
        <v>Santa Barbara County</v>
      </c>
      <c r="AL52">
        <f t="shared" si="8"/>
        <v>4334.9999999999991</v>
      </c>
    </row>
    <row r="53" spans="1:38" x14ac:dyDescent="0.35">
      <c r="A53" s="13">
        <v>14</v>
      </c>
      <c r="B53" s="25">
        <v>13</v>
      </c>
      <c r="Z53" t="s">
        <v>19</v>
      </c>
      <c r="AA53" t="s">
        <v>77</v>
      </c>
      <c r="AB53" s="25">
        <v>737</v>
      </c>
      <c r="AC53" s="25">
        <v>37449.000000000007</v>
      </c>
      <c r="AE53" t="str">
        <f t="shared" si="3"/>
        <v>California</v>
      </c>
      <c r="AF53" t="str">
        <f t="shared" si="4"/>
        <v>Santa Clara County</v>
      </c>
      <c r="AG53">
        <f t="shared" si="5"/>
        <v>737</v>
      </c>
      <c r="AJ53" t="str">
        <f t="shared" si="6"/>
        <v>California</v>
      </c>
      <c r="AK53" t="str">
        <f t="shared" si="7"/>
        <v>Santa Clara County</v>
      </c>
      <c r="AL53">
        <f t="shared" si="8"/>
        <v>37449.000000000007</v>
      </c>
    </row>
    <row r="54" spans="1:38" x14ac:dyDescent="0.35">
      <c r="A54" s="13" t="s">
        <v>2560</v>
      </c>
      <c r="B54" s="25">
        <v>2400</v>
      </c>
      <c r="Z54" t="s">
        <v>19</v>
      </c>
      <c r="AA54" t="s">
        <v>309</v>
      </c>
      <c r="AB54" s="25">
        <v>39</v>
      </c>
      <c r="AC54" s="25">
        <v>2447.5</v>
      </c>
      <c r="AE54" t="str">
        <f t="shared" si="3"/>
        <v>California</v>
      </c>
      <c r="AF54" t="str">
        <f t="shared" si="4"/>
        <v>Santa Cruz County</v>
      </c>
      <c r="AG54">
        <f t="shared" si="5"/>
        <v>39</v>
      </c>
      <c r="AJ54" t="str">
        <f t="shared" si="6"/>
        <v>California</v>
      </c>
      <c r="AK54" t="str">
        <f t="shared" si="7"/>
        <v>Santa Cruz County</v>
      </c>
      <c r="AL54">
        <f t="shared" si="8"/>
        <v>2447.5</v>
      </c>
    </row>
    <row r="55" spans="1:38" x14ac:dyDescent="0.35">
      <c r="Z55" t="s">
        <v>19</v>
      </c>
      <c r="AA55" t="s">
        <v>1116</v>
      </c>
      <c r="AB55" s="25">
        <v>56</v>
      </c>
      <c r="AC55" s="25">
        <v>3391.1</v>
      </c>
      <c r="AE55" t="str">
        <f t="shared" si="3"/>
        <v>California</v>
      </c>
      <c r="AF55" t="str">
        <f t="shared" si="4"/>
        <v>Shasta County</v>
      </c>
      <c r="AG55">
        <f t="shared" si="5"/>
        <v>56</v>
      </c>
      <c r="AJ55" t="str">
        <f t="shared" si="6"/>
        <v>California</v>
      </c>
      <c r="AK55" t="str">
        <f t="shared" si="7"/>
        <v>Shasta County</v>
      </c>
      <c r="AL55">
        <f t="shared" si="8"/>
        <v>3391.1</v>
      </c>
    </row>
    <row r="56" spans="1:38" x14ac:dyDescent="0.35">
      <c r="Z56" t="s">
        <v>19</v>
      </c>
      <c r="AA56" t="s">
        <v>700</v>
      </c>
      <c r="AB56" s="25">
        <v>2</v>
      </c>
      <c r="AC56" s="25">
        <v>30.8</v>
      </c>
      <c r="AE56" t="str">
        <f t="shared" si="3"/>
        <v>California</v>
      </c>
      <c r="AF56" t="str">
        <f t="shared" si="4"/>
        <v>Sierra County</v>
      </c>
      <c r="AG56">
        <f t="shared" si="5"/>
        <v>2</v>
      </c>
      <c r="AJ56" t="str">
        <f t="shared" si="6"/>
        <v>California</v>
      </c>
      <c r="AK56" t="str">
        <f t="shared" si="7"/>
        <v>Sierra County</v>
      </c>
      <c r="AL56">
        <f t="shared" si="8"/>
        <v>30.8</v>
      </c>
    </row>
    <row r="57" spans="1:38" x14ac:dyDescent="0.35">
      <c r="Z57" t="s">
        <v>19</v>
      </c>
      <c r="AA57" t="s">
        <v>268</v>
      </c>
      <c r="AB57" s="25">
        <v>8</v>
      </c>
      <c r="AC57" s="25">
        <v>332.3</v>
      </c>
      <c r="AE57" t="str">
        <f t="shared" si="3"/>
        <v>California</v>
      </c>
      <c r="AF57" t="str">
        <f t="shared" si="4"/>
        <v>Siskiyou County</v>
      </c>
      <c r="AG57">
        <f t="shared" si="5"/>
        <v>8</v>
      </c>
      <c r="AJ57" t="str">
        <f t="shared" si="6"/>
        <v>California</v>
      </c>
      <c r="AK57" t="str">
        <f t="shared" si="7"/>
        <v>Siskiyou County</v>
      </c>
      <c r="AL57">
        <f t="shared" si="8"/>
        <v>332.3</v>
      </c>
    </row>
    <row r="58" spans="1:38" x14ac:dyDescent="0.35">
      <c r="Z58" t="s">
        <v>19</v>
      </c>
      <c r="AA58" t="s">
        <v>377</v>
      </c>
      <c r="AB58" s="25">
        <v>52</v>
      </c>
      <c r="AC58" s="25">
        <v>3175.9999999999995</v>
      </c>
      <c r="AE58" t="str">
        <f t="shared" si="3"/>
        <v>California</v>
      </c>
      <c r="AF58" t="str">
        <f t="shared" si="4"/>
        <v>Solano County</v>
      </c>
      <c r="AG58">
        <f t="shared" si="5"/>
        <v>52</v>
      </c>
      <c r="AJ58" t="str">
        <f t="shared" si="6"/>
        <v>California</v>
      </c>
      <c r="AK58" t="str">
        <f t="shared" si="7"/>
        <v>Solano County</v>
      </c>
      <c r="AL58">
        <f t="shared" si="8"/>
        <v>3175.9999999999995</v>
      </c>
    </row>
    <row r="59" spans="1:38" x14ac:dyDescent="0.35">
      <c r="Z59" t="s">
        <v>19</v>
      </c>
      <c r="AA59" t="s">
        <v>108</v>
      </c>
      <c r="AB59" s="25">
        <v>295</v>
      </c>
      <c r="AC59" s="25">
        <v>20939.600000000002</v>
      </c>
      <c r="AE59" t="str">
        <f t="shared" si="3"/>
        <v>California</v>
      </c>
      <c r="AF59" t="str">
        <f t="shared" si="4"/>
        <v>Sonoma County</v>
      </c>
      <c r="AG59">
        <f t="shared" si="5"/>
        <v>295</v>
      </c>
      <c r="AJ59" t="str">
        <f t="shared" si="6"/>
        <v>California</v>
      </c>
      <c r="AK59" t="str">
        <f t="shared" si="7"/>
        <v>Sonoma County</v>
      </c>
      <c r="AL59">
        <f t="shared" si="8"/>
        <v>20939.600000000002</v>
      </c>
    </row>
    <row r="60" spans="1:38" x14ac:dyDescent="0.35">
      <c r="Z60" t="s">
        <v>19</v>
      </c>
      <c r="AA60" t="s">
        <v>110</v>
      </c>
      <c r="AB60" s="25">
        <v>195</v>
      </c>
      <c r="AC60" s="25">
        <v>10185.899999999996</v>
      </c>
      <c r="AE60" t="str">
        <f t="shared" si="3"/>
        <v>California</v>
      </c>
      <c r="AF60" t="str">
        <f t="shared" si="4"/>
        <v>Stanislaus County</v>
      </c>
      <c r="AG60">
        <f t="shared" si="5"/>
        <v>195</v>
      </c>
      <c r="AJ60" t="str">
        <f t="shared" si="6"/>
        <v>California</v>
      </c>
      <c r="AK60" t="str">
        <f t="shared" si="7"/>
        <v>Stanislaus County</v>
      </c>
      <c r="AL60">
        <f t="shared" si="8"/>
        <v>10185.899999999996</v>
      </c>
    </row>
    <row r="61" spans="1:38" x14ac:dyDescent="0.35">
      <c r="Z61" t="s">
        <v>19</v>
      </c>
      <c r="AA61" t="s">
        <v>292</v>
      </c>
      <c r="AB61" s="25">
        <v>20</v>
      </c>
      <c r="AC61" s="25">
        <v>958.7</v>
      </c>
      <c r="AE61" t="str">
        <f t="shared" si="3"/>
        <v>California</v>
      </c>
      <c r="AF61" t="str">
        <f t="shared" si="4"/>
        <v>Sutter County</v>
      </c>
      <c r="AG61">
        <f t="shared" si="5"/>
        <v>20</v>
      </c>
      <c r="AJ61" t="str">
        <f t="shared" si="6"/>
        <v>California</v>
      </c>
      <c r="AK61" t="str">
        <f t="shared" si="7"/>
        <v>Sutter County</v>
      </c>
      <c r="AL61">
        <f t="shared" si="8"/>
        <v>958.7</v>
      </c>
    </row>
    <row r="62" spans="1:38" x14ac:dyDescent="0.35">
      <c r="Z62" t="s">
        <v>19</v>
      </c>
      <c r="AA62" t="s">
        <v>79</v>
      </c>
      <c r="AB62" s="25">
        <v>6</v>
      </c>
      <c r="AC62" s="25">
        <v>323</v>
      </c>
      <c r="AE62" t="str">
        <f t="shared" si="3"/>
        <v>California</v>
      </c>
      <c r="AF62" t="str">
        <f t="shared" si="4"/>
        <v>Tehama County</v>
      </c>
      <c r="AG62">
        <f t="shared" si="5"/>
        <v>6</v>
      </c>
      <c r="AJ62" t="str">
        <f t="shared" si="6"/>
        <v>California</v>
      </c>
      <c r="AK62" t="str">
        <f t="shared" si="7"/>
        <v>Tehama County</v>
      </c>
      <c r="AL62">
        <f t="shared" si="8"/>
        <v>323</v>
      </c>
    </row>
    <row r="63" spans="1:38" x14ac:dyDescent="0.35">
      <c r="Z63" t="s">
        <v>19</v>
      </c>
      <c r="AA63" t="s">
        <v>608</v>
      </c>
      <c r="AB63" s="25">
        <v>5</v>
      </c>
      <c r="AC63" s="25">
        <v>167.70000000000002</v>
      </c>
      <c r="AE63" t="str">
        <f t="shared" si="3"/>
        <v>California</v>
      </c>
      <c r="AF63" t="str">
        <f t="shared" si="4"/>
        <v>Trinity County</v>
      </c>
      <c r="AG63">
        <f t="shared" si="5"/>
        <v>5</v>
      </c>
      <c r="AJ63" t="str">
        <f t="shared" si="6"/>
        <v>California</v>
      </c>
      <c r="AK63" t="str">
        <f t="shared" si="7"/>
        <v>Trinity County</v>
      </c>
      <c r="AL63">
        <f t="shared" si="8"/>
        <v>167.70000000000002</v>
      </c>
    </row>
    <row r="64" spans="1:38" x14ac:dyDescent="0.35">
      <c r="Z64" t="s">
        <v>19</v>
      </c>
      <c r="AA64" t="s">
        <v>113</v>
      </c>
      <c r="AB64" s="25">
        <v>94</v>
      </c>
      <c r="AC64" s="25">
        <v>3978.5</v>
      </c>
      <c r="AE64" t="str">
        <f t="shared" si="3"/>
        <v>California</v>
      </c>
      <c r="AF64" t="str">
        <f t="shared" si="4"/>
        <v>Tulare County</v>
      </c>
      <c r="AG64">
        <f t="shared" si="5"/>
        <v>94</v>
      </c>
      <c r="AJ64" t="str">
        <f t="shared" si="6"/>
        <v>California</v>
      </c>
      <c r="AK64" t="str">
        <f t="shared" si="7"/>
        <v>Tulare County</v>
      </c>
      <c r="AL64">
        <f t="shared" si="8"/>
        <v>3978.5</v>
      </c>
    </row>
    <row r="65" spans="26:38" x14ac:dyDescent="0.35">
      <c r="Z65" t="s">
        <v>19</v>
      </c>
      <c r="AA65" t="s">
        <v>997</v>
      </c>
      <c r="AB65" s="25">
        <v>28</v>
      </c>
      <c r="AC65" s="25">
        <v>1405</v>
      </c>
      <c r="AE65" t="str">
        <f t="shared" si="3"/>
        <v>California</v>
      </c>
      <c r="AF65" t="str">
        <f t="shared" si="4"/>
        <v>Tuolumne County</v>
      </c>
      <c r="AG65">
        <f t="shared" si="5"/>
        <v>28</v>
      </c>
      <c r="AJ65" t="str">
        <f t="shared" si="6"/>
        <v>California</v>
      </c>
      <c r="AK65" t="str">
        <f t="shared" si="7"/>
        <v>Tuolumne County</v>
      </c>
      <c r="AL65">
        <f t="shared" si="8"/>
        <v>1405</v>
      </c>
    </row>
    <row r="66" spans="26:38" x14ac:dyDescent="0.35">
      <c r="Z66" t="s">
        <v>19</v>
      </c>
      <c r="AA66" t="s">
        <v>82</v>
      </c>
      <c r="AB66" s="25">
        <v>179</v>
      </c>
      <c r="AC66" s="25">
        <v>9869.0999999999985</v>
      </c>
      <c r="AE66" t="str">
        <f t="shared" si="3"/>
        <v>California</v>
      </c>
      <c r="AF66" t="str">
        <f t="shared" si="4"/>
        <v>Ventura County</v>
      </c>
      <c r="AG66">
        <f t="shared" si="5"/>
        <v>179</v>
      </c>
      <c r="AJ66" t="str">
        <f t="shared" si="6"/>
        <v>California</v>
      </c>
      <c r="AK66" t="str">
        <f t="shared" si="7"/>
        <v>Ventura County</v>
      </c>
      <c r="AL66">
        <f t="shared" si="8"/>
        <v>9869.0999999999985</v>
      </c>
    </row>
    <row r="67" spans="26:38" x14ac:dyDescent="0.35">
      <c r="Z67" t="s">
        <v>19</v>
      </c>
      <c r="AA67" t="s">
        <v>243</v>
      </c>
      <c r="AB67" s="25">
        <v>15</v>
      </c>
      <c r="AC67" s="25">
        <v>615.29999999999995</v>
      </c>
      <c r="AE67" t="str">
        <f t="shared" si="3"/>
        <v>California</v>
      </c>
      <c r="AF67" t="str">
        <f t="shared" si="4"/>
        <v>Yolo County</v>
      </c>
      <c r="AG67">
        <f t="shared" si="5"/>
        <v>15</v>
      </c>
      <c r="AJ67" t="str">
        <f t="shared" si="6"/>
        <v>California</v>
      </c>
      <c r="AK67" t="str">
        <f t="shared" si="7"/>
        <v>Yolo County</v>
      </c>
      <c r="AL67">
        <f t="shared" si="8"/>
        <v>615.29999999999995</v>
      </c>
    </row>
    <row r="68" spans="26:38" x14ac:dyDescent="0.35">
      <c r="Z68" t="s">
        <v>19</v>
      </c>
      <c r="AA68" t="s">
        <v>1911</v>
      </c>
      <c r="AB68" s="25">
        <v>3</v>
      </c>
      <c r="AC68" s="25">
        <v>285</v>
      </c>
      <c r="AE68" t="str">
        <f t="shared" si="3"/>
        <v>California</v>
      </c>
      <c r="AF68" t="str">
        <f t="shared" si="4"/>
        <v>Yuba County</v>
      </c>
      <c r="AG68">
        <f t="shared" si="5"/>
        <v>3</v>
      </c>
      <c r="AJ68" t="str">
        <f t="shared" si="6"/>
        <v>California</v>
      </c>
      <c r="AK68" t="str">
        <f t="shared" si="7"/>
        <v>Yuba County</v>
      </c>
      <c r="AL68">
        <f t="shared" si="8"/>
        <v>285</v>
      </c>
    </row>
  </sheetData>
  <conditionalFormatting sqref="AQ6:AT10">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H18" sqref="H18"/>
    </sheetView>
  </sheetViews>
  <sheetFormatPr defaultRowHeight="14.5" x14ac:dyDescent="0.35"/>
  <cols>
    <col min="2" max="2" width="19" bestFit="1" customWidth="1"/>
    <col min="3" max="3" width="8" bestFit="1" customWidth="1"/>
    <col min="4" max="4" width="9" bestFit="1" customWidth="1"/>
    <col min="5" max="5" width="7.36328125" bestFit="1" customWidth="1"/>
    <col min="6" max="6" width="9.7265625" bestFit="1" customWidth="1"/>
    <col min="7" max="7" width="9.1796875" bestFit="1" customWidth="1"/>
    <col min="8" max="8" width="15.54296875" bestFit="1" customWidth="1"/>
    <col min="9" max="9" width="10.36328125" bestFit="1" customWidth="1"/>
    <col min="10" max="10" width="7.81640625" bestFit="1" customWidth="1"/>
    <col min="11" max="11" width="8.6328125" bestFit="1" customWidth="1"/>
    <col min="12" max="12" width="19.81640625" bestFit="1" customWidth="1"/>
    <col min="13" max="13" width="13.26953125" bestFit="1" customWidth="1"/>
    <col min="14" max="14" width="9.26953125" bestFit="1" customWidth="1"/>
    <col min="15" max="15" width="12" bestFit="1" customWidth="1"/>
  </cols>
  <sheetData>
    <row r="1" spans="1:15" x14ac:dyDescent="0.35">
      <c r="A1" t="s">
        <v>0</v>
      </c>
      <c r="B1" t="s">
        <v>1</v>
      </c>
      <c r="C1" t="s">
        <v>2</v>
      </c>
      <c r="D1" t="s">
        <v>3</v>
      </c>
      <c r="E1" t="s">
        <v>4</v>
      </c>
      <c r="F1" t="s">
        <v>5</v>
      </c>
      <c r="G1" t="s">
        <v>6</v>
      </c>
      <c r="H1" t="s">
        <v>7</v>
      </c>
      <c r="I1" t="s">
        <v>8</v>
      </c>
      <c r="J1" t="s">
        <v>9</v>
      </c>
      <c r="K1" t="s">
        <v>10</v>
      </c>
      <c r="L1" t="s">
        <v>11</v>
      </c>
      <c r="M1" s="2" t="s">
        <v>12</v>
      </c>
      <c r="N1" s="2" t="s">
        <v>13</v>
      </c>
      <c r="O1" s="2" t="s">
        <v>14</v>
      </c>
    </row>
    <row r="2" spans="1:15" x14ac:dyDescent="0.3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17" sqref="E17"/>
    </sheetView>
  </sheetViews>
  <sheetFormatPr defaultRowHeight="14.5" x14ac:dyDescent="0.35"/>
  <cols>
    <col min="1" max="1" width="3.6328125" customWidth="1"/>
    <col min="2" max="2" width="52.81640625" customWidth="1"/>
  </cols>
  <sheetData>
    <row r="2" spans="2:2" x14ac:dyDescent="0.35">
      <c r="B2" s="3" t="s">
        <v>2503</v>
      </c>
    </row>
    <row r="3" spans="2:2" x14ac:dyDescent="0.35">
      <c r="B3" s="4" t="s">
        <v>2504</v>
      </c>
    </row>
    <row r="4" spans="2:2" x14ac:dyDescent="0.35">
      <c r="B4" s="4" t="s">
        <v>2505</v>
      </c>
    </row>
    <row r="5" spans="2:2" x14ac:dyDescent="0.35">
      <c r="B5" s="4" t="s">
        <v>2506</v>
      </c>
    </row>
    <row r="6" spans="2:2" x14ac:dyDescent="0.35">
      <c r="B6" s="4" t="s">
        <v>2507</v>
      </c>
    </row>
    <row r="7" spans="2:2" x14ac:dyDescent="0.35">
      <c r="B7" s="4" t="s">
        <v>2508</v>
      </c>
    </row>
    <row r="10" spans="2:2" x14ac:dyDescent="0.35">
      <c r="B10" s="3" t="s">
        <v>2509</v>
      </c>
    </row>
    <row r="11" spans="2:2" x14ac:dyDescent="0.35">
      <c r="B11" t="s">
        <v>2510</v>
      </c>
    </row>
    <row r="12" spans="2:2" x14ac:dyDescent="0.35">
      <c r="B12" t="s">
        <v>2511</v>
      </c>
    </row>
    <row r="13" spans="2:2" x14ac:dyDescent="0.35">
      <c r="B13" t="s">
        <v>2512</v>
      </c>
    </row>
    <row r="14" spans="2:2" x14ac:dyDescent="0.35">
      <c r="B14" t="s">
        <v>2513</v>
      </c>
    </row>
    <row r="15" spans="2:2" x14ac:dyDescent="0.35">
      <c r="B15" t="s">
        <v>2514</v>
      </c>
    </row>
    <row r="16" spans="2:2" x14ac:dyDescent="0.35">
      <c r="B16" t="s">
        <v>2515</v>
      </c>
    </row>
    <row r="17" spans="2:2" x14ac:dyDescent="0.35">
      <c r="B17" t="s">
        <v>2516</v>
      </c>
    </row>
    <row r="18" spans="2:2" x14ac:dyDescent="0.35">
      <c r="B18" t="s">
        <v>2517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tabSelected="1" zoomScale="70" zoomScaleNormal="70" workbookViewId="0">
      <selection activeCell="AA14" sqref="AA14"/>
    </sheetView>
  </sheetViews>
  <sheetFormatPr defaultRowHeight="14.5" x14ac:dyDescent="0.35"/>
  <cols>
    <col min="1" max="1" width="3.36328125" customWidth="1"/>
    <col min="2" max="2" width="22.1796875" customWidth="1"/>
    <col min="3" max="4" width="3.36328125" customWidth="1"/>
    <col min="26" max="26" width="3.3632812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4:H24"/>
  <sheetViews>
    <sheetView workbookViewId="0">
      <selection activeCell="B3" sqref="B3"/>
    </sheetView>
  </sheetViews>
  <sheetFormatPr defaultRowHeight="14.5" x14ac:dyDescent="0.35"/>
  <cols>
    <col min="1" max="1" width="3.36328125" customWidth="1"/>
    <col min="8" max="8" width="37.36328125" customWidth="1"/>
  </cols>
  <sheetData>
    <row r="4" spans="2:8" x14ac:dyDescent="0.35">
      <c r="H4" s="11"/>
    </row>
    <row r="5" spans="2:8" x14ac:dyDescent="0.35">
      <c r="B5" t="s">
        <v>2518</v>
      </c>
      <c r="H5" s="11"/>
    </row>
    <row r="6" spans="2:8" x14ac:dyDescent="0.35">
      <c r="B6" s="5"/>
      <c r="C6" t="s">
        <v>2519</v>
      </c>
      <c r="D6" t="s">
        <v>2525</v>
      </c>
    </row>
    <row r="7" spans="2:8" x14ac:dyDescent="0.35">
      <c r="B7" s="6"/>
      <c r="C7" t="s">
        <v>2520</v>
      </c>
      <c r="D7" t="s">
        <v>2526</v>
      </c>
    </row>
    <row r="8" spans="2:8" x14ac:dyDescent="0.35">
      <c r="B8" s="7"/>
      <c r="C8" t="s">
        <v>2521</v>
      </c>
      <c r="D8" t="s">
        <v>2527</v>
      </c>
    </row>
    <row r="9" spans="2:8" x14ac:dyDescent="0.35">
      <c r="B9" s="8"/>
      <c r="C9" t="s">
        <v>2522</v>
      </c>
      <c r="D9" t="s">
        <v>2528</v>
      </c>
    </row>
    <row r="10" spans="2:8" x14ac:dyDescent="0.35">
      <c r="B10" s="9"/>
      <c r="C10" t="s">
        <v>2523</v>
      </c>
      <c r="D10" t="s">
        <v>2529</v>
      </c>
    </row>
    <row r="11" spans="2:8" x14ac:dyDescent="0.35">
      <c r="B11" s="2"/>
      <c r="C11" t="s">
        <v>2524</v>
      </c>
      <c r="D11" t="s">
        <v>2530</v>
      </c>
    </row>
    <row r="13" spans="2:8" x14ac:dyDescent="0.35">
      <c r="B13" t="s">
        <v>2531</v>
      </c>
    </row>
    <row r="14" spans="2:8" x14ac:dyDescent="0.35">
      <c r="B14" t="s">
        <v>2532</v>
      </c>
      <c r="C14" t="s">
        <v>2537</v>
      </c>
    </row>
    <row r="15" spans="2:8" x14ac:dyDescent="0.35">
      <c r="B15" t="s">
        <v>2533</v>
      </c>
      <c r="C15" t="s">
        <v>2</v>
      </c>
    </row>
    <row r="16" spans="2:8" x14ac:dyDescent="0.35">
      <c r="B16" t="s">
        <v>2534</v>
      </c>
      <c r="C16" t="s">
        <v>4</v>
      </c>
    </row>
    <row r="17" spans="2:3" x14ac:dyDescent="0.35">
      <c r="B17" t="s">
        <v>2535</v>
      </c>
      <c r="C17" t="s">
        <v>2538</v>
      </c>
    </row>
    <row r="18" spans="2:3" x14ac:dyDescent="0.35">
      <c r="B18" t="s">
        <v>2536</v>
      </c>
      <c r="C18" t="s">
        <v>2539</v>
      </c>
    </row>
    <row r="21" spans="2:3" x14ac:dyDescent="0.35">
      <c r="B21" t="s">
        <v>2540</v>
      </c>
    </row>
    <row r="22" spans="2:3" x14ac:dyDescent="0.35">
      <c r="B22" t="s">
        <v>2541</v>
      </c>
      <c r="C22" t="s">
        <v>2542</v>
      </c>
    </row>
    <row r="23" spans="2:3" x14ac:dyDescent="0.35">
      <c r="B23" t="s">
        <v>2543</v>
      </c>
      <c r="C23" t="s">
        <v>2544</v>
      </c>
    </row>
    <row r="24" spans="2:3" x14ac:dyDescent="0.35">
      <c r="B24" s="10" t="s">
        <v>2545</v>
      </c>
      <c r="C24" t="s">
        <v>2546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Pivots</vt:lpstr>
      <vt:lpstr>Sheet2</vt:lpstr>
      <vt:lpstr>Data</vt:lpstr>
      <vt:lpstr>Questions &amp; KPIs</vt:lpstr>
      <vt:lpstr>Dashboard</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shorab shamim</cp:lastModifiedBy>
  <dcterms:created xsi:type="dcterms:W3CDTF">2025-06-13T02:42:26Z</dcterms:created>
  <dcterms:modified xsi:type="dcterms:W3CDTF">2026-03-17T07:42:08Z</dcterms:modified>
</cp:coreProperties>
</file>